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530"/>
  </bookViews>
  <sheets>
    <sheet name="CITAÇÕES" sheetId="1" r:id="rId1"/>
    <sheet name="detalhes dos artigos" sheetId="3" r:id="rId2"/>
    <sheet name="citações por edição" sheetId="4" r:id="rId3"/>
    <sheet name="artigos por idioma" sheetId="5" r:id="rId4"/>
    <sheet name="artigos por região" sheetId="6" r:id="rId5"/>
    <sheet name="artigos por instituições" sheetId="7" r:id="rId6"/>
    <sheet name="citações do evento" sheetId="8" r:id="rId7"/>
  </sheets>
  <definedNames>
    <definedName name="_xlnm._FilterDatabase" localSheetId="0" hidden="1">CITAÇÕES!$A$1:$F$104</definedName>
  </definedNames>
  <calcPr calcId="145621"/>
</workbook>
</file>

<file path=xl/calcChain.xml><?xml version="1.0" encoding="utf-8"?>
<calcChain xmlns="http://schemas.openxmlformats.org/spreadsheetml/2006/main">
  <c r="F84" i="1" l="1"/>
  <c r="F83" i="1"/>
  <c r="F82" i="1"/>
  <c r="F80" i="1"/>
  <c r="B33" i="1"/>
  <c r="B77" i="1" l="1"/>
  <c r="B76" i="1"/>
  <c r="B68" i="1"/>
  <c r="B63" i="1"/>
  <c r="B41" i="7" l="1"/>
  <c r="C10" i="4"/>
  <c r="G2" i="4"/>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B24" i="1"/>
  <c r="B86" i="1"/>
  <c r="B85" i="1"/>
  <c r="B84" i="1"/>
  <c r="B83" i="1"/>
  <c r="B82" i="1"/>
  <c r="B81" i="1"/>
  <c r="F79" i="1"/>
  <c r="B79" i="1"/>
  <c r="B80" i="1"/>
  <c r="B78" i="1"/>
  <c r="F62" i="1"/>
  <c r="B62" i="1"/>
  <c r="F75" i="1"/>
  <c r="B75" i="1"/>
  <c r="F74" i="1"/>
  <c r="B74" i="1"/>
  <c r="F73" i="1"/>
  <c r="B73" i="1"/>
  <c r="F72" i="1"/>
  <c r="B72" i="1"/>
  <c r="F71" i="1"/>
  <c r="B71" i="1"/>
  <c r="F70" i="1"/>
  <c r="B70" i="1"/>
  <c r="F69" i="1"/>
  <c r="B69" i="1"/>
  <c r="F67" i="1"/>
  <c r="B67" i="1"/>
  <c r="F66" i="1"/>
  <c r="B66" i="1"/>
  <c r="F65" i="1"/>
  <c r="B65" i="1"/>
  <c r="F64" i="1"/>
  <c r="B64" i="1"/>
  <c r="F61" i="1"/>
  <c r="B61" i="1"/>
  <c r="F56" i="1"/>
  <c r="B56" i="1"/>
  <c r="F57" i="1"/>
  <c r="B57" i="1"/>
  <c r="F60" i="1"/>
  <c r="B60" i="1"/>
  <c r="F58" i="1"/>
  <c r="B58" i="1"/>
  <c r="F59" i="1"/>
  <c r="B59" i="1"/>
  <c r="F51" i="1"/>
  <c r="B51" i="1"/>
  <c r="F52" i="1"/>
  <c r="B52" i="1"/>
  <c r="B55" i="1"/>
  <c r="B54" i="1"/>
  <c r="F50" i="1"/>
  <c r="B50" i="1"/>
  <c r="F49" i="1"/>
  <c r="B49" i="1"/>
  <c r="B53" i="1"/>
  <c r="F44" i="1"/>
  <c r="B44" i="1"/>
  <c r="E38" i="1"/>
  <c r="F38" i="1" s="1"/>
  <c r="B38" i="1"/>
  <c r="F37" i="1"/>
  <c r="B37" i="1"/>
  <c r="F43" i="1"/>
  <c r="B43" i="1"/>
  <c r="B48" i="1"/>
  <c r="E36" i="1"/>
  <c r="F36" i="1" s="1"/>
  <c r="B36" i="1"/>
  <c r="B47" i="1"/>
  <c r="F42" i="1"/>
  <c r="B42" i="1"/>
  <c r="B46" i="1"/>
  <c r="B45" i="1"/>
  <c r="F40" i="1"/>
  <c r="F41" i="1"/>
  <c r="B41" i="1"/>
  <c r="F39" i="1"/>
  <c r="B39" i="1"/>
  <c r="F30" i="1"/>
  <c r="B30" i="1"/>
  <c r="B35" i="1"/>
  <c r="F28" i="1"/>
  <c r="B28" i="1"/>
  <c r="F29" i="1"/>
  <c r="B29" i="1"/>
  <c r="F32" i="1"/>
  <c r="B32" i="1"/>
  <c r="B34" i="1"/>
  <c r="F31" i="1"/>
  <c r="B31" i="1"/>
  <c r="F27" i="1"/>
  <c r="B27" i="1"/>
  <c r="F26" i="1"/>
  <c r="B26" i="1"/>
  <c r="B25" i="1"/>
  <c r="F15" i="1"/>
  <c r="B15" i="1"/>
  <c r="B22" i="1"/>
  <c r="B21" i="1"/>
  <c r="B20" i="1"/>
  <c r="F14" i="1"/>
  <c r="B14" i="1"/>
  <c r="B19" i="1"/>
  <c r="F16" i="1"/>
  <c r="B16" i="1"/>
  <c r="B18" i="1"/>
  <c r="F17" i="1"/>
  <c r="B17" i="1"/>
  <c r="B13" i="1"/>
  <c r="F4" i="1"/>
  <c r="B4" i="1"/>
  <c r="F7" i="1"/>
  <c r="B7" i="1"/>
  <c r="B12" i="1"/>
  <c r="B11" i="1"/>
  <c r="B10" i="1"/>
  <c r="B9" i="1"/>
  <c r="B8" i="1"/>
  <c r="F5" i="1"/>
  <c r="B5" i="1"/>
  <c r="F3" i="1"/>
  <c r="B3" i="1"/>
  <c r="F2" i="1"/>
  <c r="B2" i="1"/>
  <c r="F6" i="1"/>
  <c r="B6" i="1"/>
</calcChain>
</file>

<file path=xl/sharedStrings.xml><?xml version="1.0" encoding="utf-8"?>
<sst xmlns="http://schemas.openxmlformats.org/spreadsheetml/2006/main" count="759" uniqueCount="420">
  <si>
    <t>Nome</t>
  </si>
  <si>
    <t>Título</t>
  </si>
  <si>
    <t>Ano</t>
  </si>
  <si>
    <t>Google Scholar Citations</t>
  </si>
  <si>
    <t>Snowballing Citations</t>
  </si>
  <si>
    <t>Total</t>
  </si>
  <si>
    <t>Cleidson R. B. De Souza,  Sebastião B. Fonseca.  </t>
  </si>
  <si>
    <t>Elisa H. M. Huzita,  Tania F. C. Tait,  Thelma E. Colanzi,  Marcos A. Quinaia</t>
  </si>
  <si>
    <t>Felipe S. Furtado Soares,  Leila M. Rodrigues de Sousa Mariz,  Yguaratã C. Cavalcanti,  Joseane P. Rodrigues,  Mário G. Neto,  Petrus R. Bastos,  Ana Carina M. Almeida,  Daniel Thiago V. Pereira, Thierry da Silva Araújo,  Rafael S. M. Correia,  Jones Albuquerque.</t>
  </si>
  <si>
    <t>João Gustavo Prudêncio,  Leonardo Murta,  Cláudia Werner.</t>
  </si>
  <si>
    <t>João P. F. de Oliveira,  Talles Brito,  Adriana Oliveira,  Sebastião Jr,  Glêdson Elias. </t>
  </si>
  <si>
    <t>--</t>
  </si>
  <si>
    <t>Leandro P. de Aguiar,  Giorgio S. C. Merize,  Frank Siqueira.</t>
  </si>
  <si>
    <t>Leonardo Medeiros,  Alex Sandro Gomes,  Carina Alves,  Fábio Caparica,  Rogério Nibon,  Alexandre Vasconcelos</t>
  </si>
  <si>
    <t>Leonardo Pilatti,  Jorge Luis Nicolas Audy</t>
  </si>
  <si>
    <t>Rafael Prikladnicki,  Jiani Cardoso</t>
  </si>
  <si>
    <t>Rafael Prikladnicki,  Jorge Luis Nicolas Audy</t>
  </si>
  <si>
    <t>Robson Ytallo Silva de Oliveira,  Luciana de Queiroz Leal,  Ryan Ribeiro de Azevedo,  Jalmaratan Luís de Melo Macêdo,  Silvio Lemos Meira</t>
  </si>
  <si>
    <t>Adailton Magalhães Lima,  Rodrigo Quites Reis.</t>
  </si>
  <si>
    <t>André Fonseca Amâncio,  Heitor Augustus Xavier Costa,  Antônio Maria Pereira de Resende,  Fábio Fagundes Silveira. </t>
  </si>
  <si>
    <t>César Alberto da Silva,  Elisa Hatsue Moriya Huzita.</t>
  </si>
  <si>
    <t>Diarley Cardoso de Souza,  Heitor Augustus Xavier Costa,  Antônio Maria Pereira de Resende,  Fábio Fagundes Silveira.</t>
  </si>
  <si>
    <t>Elisa Hatsue Moriya Huzita,  César Alberto da Silva,  Igor Scaliante Wiese,  Tania Fatima Calvi Tait,  Marcos Quinaia,  Flávio Luiz Schiavoni</t>
  </si>
  <si>
    <t>Eustáquio São José de Faria,  Keiji Yamanaka,  Josimeire do Amaral Tavares,  Geraldo Henrique Lacerda Pinto,  Lowghan Henrique Sudário de Melo. </t>
  </si>
  <si>
    <t>Geraldo F. C. Neto,  Thelma E. Colanzi,  Elisa H. M. Huzita.</t>
  </si>
  <si>
    <t>João Paulo F. de Oliveira,  Glêdson Elias</t>
  </si>
  <si>
    <t>Rafael Cepêda,  Leonardo Murta,  Cláudia Werner. </t>
  </si>
  <si>
    <t>Rodrigo Rocha,  Daniel Arcoverde,  Rebeka Brito,  Bruno Arôxa,  Catarina Costa,  Fabio Q. B. da Silva,  Jones Albuquerque,  Silvio Romero de Lemos Meira.</t>
  </si>
  <si>
    <t>Andrea Pinto,  Ana Carina M. Almeida,  Elisabeth Morais.</t>
  </si>
  <si>
    <t>Carlos Peixoto,  Tiago Bortoluzzi,  Thais Ebling,  Rafael Prikladnicki,  Jorge Luis Nicolas Audy,  Mauricio Cristal,  John Wheeler.</t>
  </si>
  <si>
    <t>Eric Cavalcanti,  Teresa M. de Medeiros Maciel,  Jones Albuquerque</t>
  </si>
  <si>
    <t>Gabriel Costa Silva,  Itana Maria de Souza Gimenes,  Marcelo Fantinato,  Maria Beatriz Felgar de Toledo.</t>
  </si>
  <si>
    <t>Ivaldir Honório de Farias Junior,  Ryan Ribeiro de Azevedo,  Eric Rommel Galvão Dantas,  Rodrigo G. C. Rocha,  Wendell Campos Veras,  Fred Freitas,  Jether Oliveira Gomes.</t>
  </si>
  <si>
    <t>Rafael Cassolato de Meneses,  Elisa Hatsue Moriya Huzita.</t>
  </si>
  <si>
    <t>Taísa A. L. dos Santos,  Renata M. de Araujo,  Andrea M. Magdaleno</t>
  </si>
  <si>
    <t>Tatiane Macedo Prudencio Lopes,  Clovis Torres Fernandes. </t>
  </si>
  <si>
    <t>Viviane Malheiros,  Carolyn Seaman,  José Carlos Maldonado. </t>
  </si>
  <si>
    <t>Alexandre L'Erario</t>
  </si>
  <si>
    <t>Alexandre L'Erario.</t>
  </si>
  <si>
    <t>Alinne C. Corrêa dos Santos,  Camila Cunha Borges,  Fabio Q. B. da Silva,  David E. S. Carneiro.  </t>
  </si>
  <si>
    <t>Idioma (Colocar pt ou en para facilitar a contagem depois)</t>
  </si>
  <si>
    <t>Ana Paula Chaves,  Igor Steinmacher,  Gislaine Camila L. Leal,  Elisa H. M. Huzita.</t>
  </si>
  <si>
    <t>Bruno Ribeiro,  Glêdson Elias. </t>
  </si>
  <si>
    <t>Região (Colocar a sigla do estado para faciltar a contagem depois)</t>
  </si>
  <si>
    <t>Universidade (Sigla) - OPCIONAL</t>
  </si>
  <si>
    <t>Universidade (nome completo)</t>
  </si>
  <si>
    <t># Autores no artigo OPCIONAL</t>
  </si>
  <si>
    <t>Catarina Costa,  Rodrigo Rocha,  Fabio Q. B. da Silva,  Rafael Prikladnicki.</t>
  </si>
  <si>
    <t>Eduardo Santana de Almeida.</t>
  </si>
  <si>
    <t>Gislaine Camila Lapasini Leal,  Cesar Alberto da Silva,  Elisa Hatsue Moriya Huzita,  Tania F´atima Calvi Tait.</t>
  </si>
  <si>
    <t>Rafael A. Glanzner,  Rafael Prikladnicki,  Jorge L. N. Audy.</t>
  </si>
  <si>
    <t>Rodrigo Rocha,  Catarina Costa,  Rafael Prikladnicki,  Ryan Ribeiro de Azevedo,  Ivaldir H. F. Junior,  Silvio Meira</t>
  </si>
  <si>
    <t>Rodrigo Rocha,  Catarina Costa,  Rafael Prikladnicki,  Ryan Ribeiro de Azevedo,  Ivaldir H. F. Junior,  Silvio Meira.</t>
  </si>
  <si>
    <t>Vinicius S. dos Santos,  Thaís A. B. Pereira,  Bruno Luna Ribeiro,  Glêdson Elias. </t>
  </si>
  <si>
    <t>Yara Rosetto Mariano Silva,  Marcelo Fantinato</t>
  </si>
  <si>
    <t>en</t>
  </si>
  <si>
    <t>Alex N. Borges Júnior,  Fernando K. Kamei,  Pablo R. C. Alves,  Rodrigo G. C. Rocha,  Ryan R. Azevedo,  Silvio Meira.</t>
  </si>
  <si>
    <t>Anna Beatriz Marques,  Rosiane Rodrigues,  Rafael Prikladnicki,  Tayana Conte.</t>
  </si>
  <si>
    <t>Bruno Ribeiro,  Glêdson Elias.</t>
  </si>
  <si>
    <t>David Fernandes Neto,  Patr?cio Carneiro da Frota,  Renata Pontin de Mattos Fortes</t>
  </si>
  <si>
    <t>PE, DF</t>
  </si>
  <si>
    <t>UFPE, MP, CESAR</t>
  </si>
  <si>
    <t>Universidade Federal de Pernambuco, Centro de Estudos e Sistemas Avançados do Recife, Ministério Públco do Brasil</t>
  </si>
  <si>
    <t>The distributed development has emerged as one of most effective strategy in software industry. It aims at providing software products with quality assurance, low cost and in a quick way. Nevertheless, many challenges threaten the good results, like distance and availability. It is necessary to have a well-defined process to support the dispersed development. This work describes a real experience: JOSE factory, and suggests improvements for its process: MORPHOS, in order to support other factories in collaboration</t>
  </si>
  <si>
    <t>Estevão R. Hess,  Jorge L. N. Audy.</t>
  </si>
  <si>
    <t>Josiane Kroll,  Jorge L. N. Audy,  Rafael Prikladnicki. </t>
  </si>
  <si>
    <t>Vinicius Souza dos Santos,  Gledson Elias.</t>
  </si>
  <si>
    <t>Alex Nery B. Junior,  Ryan R. de Azevedo,  Fabio Q.B. da Silva,  Rodrigo G.C. Rocha,  Catarina Costa</t>
  </si>
  <si>
    <t>Elisa Hatsue Moriya Huzita,  Gislaine Camila Lapasini Leal,  Renato Balancieri,  Tânia Fátima Calvi Tait,  Edwin Cardoza,  Raqueline Ritter de Moura Penteado,  Rafael Leonardo Vivian. </t>
  </si>
  <si>
    <t>Ivaldir H. de Farias Junior,  Luan Duarte,  João Paulo N. de Oliveira,  Ariádnes R. N. Dantas,  Jefferson F. Barbosa,  Hermano P. de Moura</t>
  </si>
  <si>
    <t>Ivaldir H. de Farias Junior,  Ryan R. de Azevedo,  Hermano P. de Moura,  Dennis S. Martins da Silva.  </t>
  </si>
  <si>
    <t>Rodrigo Pereira dos Santos,  Cláudia Maria Lima Werner.</t>
  </si>
  <si>
    <t>Roni A. Dall Orsoletta</t>
  </si>
  <si>
    <t>Adailton Lima, Rodrigo Reis, Carla Lima Reis</t>
  </si>
  <si>
    <t>Alexandre Stürmer Wolf, Maurício Severo da Silva</t>
  </si>
  <si>
    <t>Antonio Techio, Rafael Prikladnicki</t>
  </si>
  <si>
    <t>Bernardo José da Silva Estácio, Rafael Prikladnicki</t>
  </si>
  <si>
    <t>George Valença, Carina Alves, Patrícia Tedesco, Lucas Moreno</t>
  </si>
  <si>
    <t>Gustavo Henrique Lima Pinto, Fernando Kamei</t>
  </si>
  <si>
    <t>Ivaldir Honório de Farias Júnior, Rodrigo Santos, Sabrina Marczak, Alinne Santos, Claudia Werner, Hermano Moura</t>
  </si>
  <si>
    <t>PA</t>
  </si>
  <si>
    <t>UFPA</t>
  </si>
  <si>
    <t>Universidade Federal do Pará</t>
  </si>
  <si>
    <t>Ivaldir Junior, Alinne Santos, Catarina Costa, Ryan Ribeiro de Azevedo, Hermano Moura</t>
  </si>
  <si>
    <t>Ivaldir Junior, Sabrina Marczak, Hermano Moura</t>
  </si>
  <si>
    <t>Joao Paulo N. de Oliveira, Ariádnes Dantas, Ivaldir Honório de Farias Júnior, Jefferson Barbosa, Hermano Moura</t>
  </si>
  <si>
    <t>In this paper we present a tool to facilitate the work of managers of global software development projects. This tool explores the relationship between software dependencies and coordination of work and uses social networks to suggest potential coordination problems for managers. The theoretical and empirical motivations for the tool focusing on the relationship between software dependencies and the coordination of software development work.</t>
  </si>
  <si>
    <t>José Augusto Fabri, Alexandre L’Erario, André L. dos Santos Domingues</t>
  </si>
  <si>
    <t>pt</t>
  </si>
  <si>
    <t>José Goncalves, Leonardo Sanches, Alexandre L’Erario</t>
  </si>
  <si>
    <t>PE</t>
  </si>
  <si>
    <t>UFPE</t>
  </si>
  <si>
    <t>Universidade Federal de Pernambuco</t>
  </si>
  <si>
    <t>O objetivo deste artigo é investigar o impacto de storyboards como meio de melhorar a qualidade das atividades de documentação e validação de requisitos. Foi realizado um conjunto de entrevistas para verificar a importância desta pesquisa. Também foram observados dois processos de engenharia de requisitos num estudo de caso exploratório buscando avaliar essa pesquisa.</t>
  </si>
  <si>
    <t>Josiane Kroll, Jorge Luis Nicolas Audy</t>
  </si>
  <si>
    <t>RS</t>
  </si>
  <si>
    <t>PUCRS</t>
  </si>
  <si>
    <t>Pontifícia Universidade Católica do Rio Grande do Sul</t>
  </si>
  <si>
    <t>O desenvolvimento distribuído de software é um fenômeno cada vez mais presente no Brasil. Ao mesmo tempo em que a área cresce, é crescente também a necessidade de formar profissionais capacitados para atuar em ambientes distribuídos. O que tem sido observado nos últimos tempos é que a experiência adquirida em projetos de DDS acaba contribuindo para melhorar o desempenho dos profissionais também em projetos tradicionais, onde algumas características da distribuição não estão presentes. Neste sentido, o objetivo deste artigo é identificar um conjunto de práticas que, ao ser explorado em treinamentos de DDS, melhora a visão dos profissionais para sua importância na Engenharia de Software como um todo. Os resultados apresentados foram obtidos a partir da avaliação de uma experiência de ensino de DDS com alunos de duas disciplinas de graduação de dois cursos de Sistemas de Informação da PUCRS.</t>
  </si>
  <si>
    <t>Laurinex da Silva Souza, Márcio Palheta</t>
  </si>
  <si>
    <t>Nayane Maia, Rodrigo Santos, Elisa Huzita, Arilo Dias Neto, Claudia Werner</t>
  </si>
  <si>
    <t>PR</t>
  </si>
  <si>
    <t>UEM, UNICENTRO</t>
  </si>
  <si>
    <t>Universidade Estadual de Maringá, Universidade Estadual do Centro-Oeste</t>
  </si>
  <si>
    <t>O desenvolvimento distribuído de software tem se tornado, progressivamente, uma estratégia adotada em empresas de diversos setores. Se por um lado pode-se obter vantagem com melhor aproveitamento de recursos, por outro surgem problemas devido à dispersão física e diferenças culturais. Portanto, a adoção desta estratégia necessita de instrumentos para viabilizá-la. Nesse contexto, é apresentado o ambiente DiSEN (Distributed Software Engineering Environment), cuja arquitetura obedece o estilo em camadas (dinâmica, aplicação e infra-estrutura). Este oferece recursos para comunicação, persistência e cooperação para apoiar o trabalho de equipes dispersas geograficamente.</t>
  </si>
  <si>
    <t>Desenvolver software tem sido um desafio. Esta complexidade aumenta significativamente quando existe um ambiente de desenvolvimento global de software. Modelos de referência de desenvolvimento offshore surgem na literatura, no entanto, pouca análise comparativa é feita sobre estes modelos. O objetivo deste artigo é apresentar critérios que foram estabelecidos para verificar a adequação destes modelos ao desenvolvimento offshore, utilizando-se de duas aplicações práticas. Desta forma, elaborando uma análise comparativa dos principais modelos de referência de desenvolvimento offshore. O estudo foi feito baseado em uma revisão bibliográfica e na análise de resultados da aplicação de um estudo de caso em duas organizações que estruturam seus processos em ambientes de desenvolvimento global de software.</t>
  </si>
  <si>
    <t>Scott Takahashi, Tatiane Lopes</t>
  </si>
  <si>
    <t>William Deus, José Goncalves, Alexandre L’Erario</t>
  </si>
  <si>
    <t>O desenvolvimento distribuído de software, na prática, tem sido operacionalizado através de modelos de negócios. Entre eles, o offshore outsourcing é um dos mais conhecidos e explorados em pesquisas. Nos últimos anos, tem sido comum a criação de subsidiárias de empresas, geralmente localizadas em outro país, para prover serviços de desenvolvimento de software, em um modelo de negócio chamado de internal offshoring. Desta forma, o objetivo deste artigo é apresentar, através um estudo de caso de base qualitativa, um conjunto de atributos e sua evolução em um contexto de internal offshoring, sob o ponto de vista das subsidiárias. Resultados preliminares indicam uma evolução muitas vezes de uma forma considerada não ideal, podendo comprometer o desempenho dos projetos.</t>
  </si>
  <si>
    <t>Daniel Soares, Brauner Oliveira, Milena Guessi, Flavio Oquendo, Marcio Eduardo Delamaro e Elisa Yumi Nakagawa</t>
  </si>
  <si>
    <t>RJ</t>
  </si>
  <si>
    <t>UFRJ</t>
  </si>
  <si>
    <t>Universidade Federal do Rio de Janeiro</t>
  </si>
  <si>
    <t>O desenvolvimento de software tem se tornado uma atividade cada vez mais complexa, devido aos requisitos cada vez mais difíceis de serem alcançados, aliado ao aumento e à distribuição da equipe de desenvolvimento. A Gerência de Configuração de Software representa uma disciplina importante para o controle da evolução de software e possibilita uma maior cooperação entre as pessoas envolvidas, apoiando o trabalho concorrente. Esse trabalho tem como objetivo sistematizar o processo de escolha de políticas de concorrência para cada artefato de um projeto de software, visando o aumento da produtividade</t>
  </si>
  <si>
    <t>Elisa Yumi Nakagawa, Rafael Capilla, Francisco Diaz e Flavio Oquendo</t>
  </si>
  <si>
    <t>Jefferson Barbosa, Ivaldir de Farias Junior, Sabrina Marczak, Rodrigo Santos e Hermano Moura</t>
  </si>
  <si>
    <t>Uma das principais dificuldades enfrentadas por equipes distribuídas de desenvolvimento de software é a falta de percepção da distância existente entre colaboradores em um mesmo projeto. Esta falta de percepção geralmente é causada por um conjunto de fatores além da distância física, tais como diferenças culturais e dificuldades de comunicação. Neste sentido, o objetivo deste artigo é avaliar o uso de um modelo proposto para o cálculo da distância percebida relativa de equipes de DDS em um projeto desenvolvido com parte da equipe no Brasil e parte da equipe na Índia. São apresentados os detalhes da aplicação do modelo, a análise dos resultados e a influência do modelo na gestão das equipes distribuídas.</t>
  </si>
  <si>
    <t>John McGregor e Simone Amorim</t>
  </si>
  <si>
    <t>Rodrigo Santos, George Valença, Davi Viana, Bernado Estácio, Awdren Fontão, Sabrina Marczak, Claudia Werner, Carina Alves, Tayana Conte e Rafael Prikladnicki</t>
  </si>
  <si>
    <t>O uso de metodologias ágeis de desenvolvimento de software tem se tornado uma demanda em equipes distribuídas de software. Este trabalho tem por objetivo relatar as experiências obtidas na adaptação de um processo de desenvolvimento distribuído com base no SCRUM realizado por uma fábrica de software open source.</t>
  </si>
  <si>
    <t>Rodrigo Santos, Marcelo Gonçalves, Elisa Yumi Nakagawa e Claudia Werner</t>
  </si>
  <si>
    <t>SC</t>
  </si>
  <si>
    <t>UFSC</t>
  </si>
  <si>
    <t>Universidade Federal de Santa Catarina</t>
  </si>
  <si>
    <t>Na Programação em Par Distribuída (PPD), ao invés de haver o desenvolvimento de software lado-a-lado, como na Programação em Par (PP), os programadores podem interagir através da rede. Esta é uma alternativa valiosa principalmente para organizações globais, onde a prática do trabalho cooperativo distribuído é lucrativa. A única limitação apresentada para PPD é a carência de boas ferramentas que permitam a interação entre os programadores. O PEP – Pair Eclipse Programming – é um plugin de código livre para o IDE Eclipse que permite a prática do PPD com produtividade e confiabilidade, solucionando os problemas apresentados pelas poucas ferramentas existentes para programação distribuída e adicionando recursos interessantes para esta prática</t>
  </si>
  <si>
    <t>Sabrina Marczak, Marcelo Perin, Rafael Prikladnicki e Christiano Ayub</t>
  </si>
  <si>
    <t>Yuri Abreu, Rodrigo Santos, Benno Albert e Claudia Werner</t>
  </si>
  <si>
    <t>Eduardo Santana de Almeida</t>
  </si>
  <si>
    <t>Yuri Feitosa Negócio,  Gledson Elias.</t>
  </si>
  <si>
    <t>PB</t>
  </si>
  <si>
    <t>UFPB</t>
  </si>
  <si>
    <t>Universidade Federal da Paraíba</t>
  </si>
  <si>
    <t>Abordagens de Desenvolvimento Baseado em Componentes (DBC) e Desenvolvimento Distribuído de Software (DDS) estão sendo amplamente adotadas e discutidas. Entretanto, ambas apresentam limitações relacionadas à coordenação, cooperação e comunicação de equipes distribuídas. Neste contexto, este artigo apresenta uma extensão do framework ComponentForge, que atualmente provê suporte ao DBC, mas que, entretanto, apresenta limitações relacionadas ao DDS, pois ainda não adota mecanismos de gerenciamento distribuído de projetos. Alinhando DBC e DDS, a extensão proposta tem o potencial de minimizar os problemas relacionados à coordenação, cooperação e comunicação de equipes distribuídas</t>
  </si>
  <si>
    <t>MG</t>
  </si>
  <si>
    <t>PUCMG,UFU</t>
  </si>
  <si>
    <t>Pontifícia Universidade Católica de Minas Gerais, Universidade Federal de Uberlândia</t>
  </si>
  <si>
    <t>Several researches about pair programming have been developed defending its viability and efficiency on quality software development practice. In many of these studies, the Pair Programming was accomplished in a co-located way and, in others, in a distributed way. In this paper, it's intended to develop a distributed intelligent pair-software development environment to support co- located or distributed pair programming. Activities like objective declaration, use cases, use-case descriptions, activity diagrams, test cases, class diagrams and program coding can be done by the pairs using this software-development environment. Voice communication is also allowed. Intelligent agents were developed intending to mediate the team members' collaboration. The system is in its test phase in an empirical study in a Information System Course</t>
  </si>
  <si>
    <t>Considerando que a integração de abordagens de Desenvolvimento Distribuído de Software (DDS) e Desenvolvimento Baseado em Componentes (DBC) potencializa os benefícios e as promessas de ambas, este artigo tem por objetivo descrever os mecanismos adotados por um serviço de repositório de componentes para prover suporte aos diferentes tipos de relacionamentos de sourcing que podem ser definidos entre equipes distribuídas envolvidas em projetos de desenvolvimento distribuído baseados em componentes</t>
  </si>
  <si>
    <t>Evento</t>
  </si>
  <si>
    <t>Quantidade de Citações por Ano</t>
  </si>
  <si>
    <t>MG, SP</t>
  </si>
  <si>
    <t>UFMG, UNIFESP</t>
  </si>
  <si>
    <t>Universidade Federal de Lavras, Universidade Federal de São Paulo</t>
  </si>
  <si>
    <t>A área de Engenharia de Software tem sido alvo de novas demandas em função de mudanças decorrentes da internacionalização e da globalização na sociedade atual. Na mesma medida em que as organizações distribuem suas operações globalmente, o processo de desenvolvimento de software sofre pressões nesta direção. Este trabalho visa contribuir com o crescimento da Tecnologia de Processos de Software, com a proposta de um processo de manutenção distribuída. Para isso, foram analisados técnicas e métodos que compõem os processos de manutenção de software existentes na literatura, que contribuíram para o entendimento das principais atividades, atores e artefatos existentes nestes processos.</t>
  </si>
  <si>
    <t>Média</t>
  </si>
  <si>
    <t>WDDS</t>
  </si>
  <si>
    <t>Desde a última década, uma tendência no desenvolvimento de software tem despertado a atenção dos pesquisadores: a distribuição do desenvolvimento. Esse fenômeno é reflexo de mudanças sociais e econômicas, que têm levado organizações a distribuírem geograficamente seus recursos e investimentos, visando aumento de produtividade, melhorias na qualidade e redução de custos no desenvolvimento de software. Em se tratando de desenvolvimento distribuído, a distância física acarreta uma série de problemas, principalmente relacionados à redução da comunicação. Para assegurar comunicação eficaz, é necessário um modelo de gerenciamento da comunicação que a distribuição das informações e o registro de problemas no desenvolvimento de software sejam tratados de maneira clara e eficiente. Este trabalho propõe um processo de gerência de comunicação baseado no PMBoK no desenvolvimento distribuído de software. Para isso, foram definidos dois sub-processos</t>
  </si>
  <si>
    <t>Inglês</t>
  </si>
  <si>
    <t>Português</t>
  </si>
  <si>
    <t>UFRJ, UFF</t>
  </si>
  <si>
    <t>Universidade Federal do Rio de Janeiro, Universidade Federal Fluminense</t>
  </si>
  <si>
    <t>Desenvolver software de forma distribuída tem se tornado crescentemente um paradigma real de desenvolvimento nas organizações de TI no mundo. Porém, junto com seus diversos aspectos positivos, encontram-se diferentes barreiras que devem ser superadas para que o processo de desenvolvimento produza projetos de sucesso ao longo do tempo. Este artigo apresenta um mecanismo de visualização da evolução de software capaz de ser integrado em um processo de desenvolvimento distribuido e com isso apresenta uma ferramenta por onde desenvolvedores espalhados geograficamente podem melhor entender a evolução de seus projetos e identificar, através de uma visão global do projeto, diferentes características relevantes do mesmo.</t>
  </si>
  <si>
    <t>UEM</t>
  </si>
  <si>
    <t>Universidade Estadual de Maringá</t>
  </si>
  <si>
    <t>No desenvolvimento de software vários são os artefatos gerados, podendo-se citar: documentos, modelos, código fonte; que podem, muitas vezes acabar sendo gerados em várias versões. O controle de versões de artefatos em um Ambiente de Desenvolvimento distribuído de software (ADDS) traz desafios no tocante à alocação de artefatos. Este artigo tem por objetivo apresentar um gerenciador de versões para um ADDS que trata de uma estratégia para alocação de artefatos e replicação de repositórios. São discutidas também as dificuldades encontradas para manter sincronizados os artefatos e seus metadados</t>
  </si>
  <si>
    <t>Em organizações que desenvolvem software de maneira descentralizada os problemas de coordenação e colaboração são agravados pelas distâncias geográfica e cultural dos envolvidos no processo. Este artigo descreve uma ferramenta que provê uma infra-estrutura tecnológica de apoio a monitoração e coordenação de processos descentralizados de desenvolvimento de software. Neste trabalho, as práticas de monitoração de processos do Modelo de Aquisição do MPS.BR e problemas reais coletados na literatura são analisados e relacionados às funcionalidades da ferramenta.</t>
  </si>
  <si>
    <t>WDES</t>
  </si>
  <si>
    <t>O Desenvolvimento Distribuído de Software está em ascensão e grandes empresas já estão utilizando este ambiente. No entanto, ainda faltam experiências práticas capazes de apresentar possíveis soluções para a adoção/adaptação de um Processo de Software e o seu real aproveitamento, ilustrando os problemas encontrados por cada grupo desenvolvedor e ter conhecimento das soluções utilizadas. Este artigo apresenta a experiência de adaptar o Processo de Desenvolvimento RUP para um Pequeno Time utilizando o Desenvolvimento Distribuído de Software. Relata os principais problemas identificados no decorrer do Projeto e como os mesmos foram resolvidos em cada fase do Processo</t>
  </si>
  <si>
    <t>Abordagens de Desenvolvimento Distribuído de Software (DDS) e Desenvolvimento Baseado em componentes (DBC) destacam-se pelo potencial de reduzir a complexidade, o tempo e o custo de desenvolvimento, bem como melhorar a qualidade do software produzido. Nesse sentido, este artigo tem por objetivo apresentar um relado de experiência na adoção de um serviço de repositório compartilhado e distribuído de componentes de software, que atua como uma infra-estrutura de apoio a projetos de desenvolvimento distribuído baseados em componentes.</t>
  </si>
  <si>
    <t>UEM, UTFPR, UNICENTRO</t>
  </si>
  <si>
    <t>Universidade Estadual de Maringá, Universidade Tecnológica Federal do Paraná, Universidade Estadual do Centro Oeste</t>
  </si>
  <si>
    <t>A despeito dos desafios e complexidades envolvidos na organização e gerenciamento de desenvolvimento distribuído de software, a construção de ambientes, o desenvolvimento de modelos e ferramentas para gerenciar processos de software neste contexto tornam-se imperativos. Este trabalho tem por objetivo contribuir com a Engenharia de Software, apresentando soluções para minimizar os problemas relacionados à comunicação, coordenação e controle, decorrentes da distância temporal, geográfica e sócio-cultural presentes no desenvolvimento distribuído de software.</t>
  </si>
  <si>
    <t>Distributed Software, validation and verification, software testing, distributed development software, W&amp;T, testing tecgnique.</t>
  </si>
  <si>
    <t>SP, USA, BA</t>
  </si>
  <si>
    <t>USP, UMD, SERPRO</t>
  </si>
  <si>
    <t xml:space="preserve">Universidade de São Paulo, University of Maryland,  Serviço Federal de Processamento de Dados </t>
  </si>
  <si>
    <t>Software Process Improvement (SPI) is an important challenge to organizations. Scenarios of geographically distributed software development highly reinforce key success factors to SPI. This paper presents an approach to support geographically distributed SPI initiatives. ColabSPI is a distributed and collaborative strategy and infrastructure to support SPI teams and developers in handling different phases of a typical SPI lifecycle. A prototype is presented together with some preliminary results and ongoing efforts</t>
  </si>
  <si>
    <t>UFPE, CESAR</t>
  </si>
  <si>
    <t>Centro de Estudos e Sistemas Avançados do Recife, Universidade Federal de Pernambuco</t>
  </si>
  <si>
    <t>Several companies have started to work with geographically distributed teams due to cost reduction and time?to?market. Some research indicates that this approach introduced new challenges, because the teams work in different time zones and have possible differences in culture and language. A standard way to develop a system is a critical factor for project success, because it ensures interaction and synchronism among sites, besides that increases team productivity. In this way, the main goal of this paper is to describe the solution adopted by a Brazilian team to develop code and write documentation in a multisite project environment</t>
  </si>
  <si>
    <t>UNIRIO, UFRJ</t>
  </si>
  <si>
    <t>Universidade Federal do Rio de Janeiro, Universidade Federal do Estado do Rio de Janeiro</t>
  </si>
  <si>
    <t>Colaboração em processos de software, mecanismos de percepção, redes sociais, padrões de colaboração.</t>
  </si>
  <si>
    <t>Pontífica Universidade Católica do Rio Grande do Sul</t>
  </si>
  <si>
    <t>O objetivo deste artigo é apresentar um modelo de capacidade proposto com o objetivo de documentar os padrões de evolução das práticas das organizações envolvidas com o internal offshoring. Este modelo é útil para aquelas empresas iniciando operações de DDS com captive centers, que poderão se beneficiar do conhecimento de práticas que foram aplicadas em outras organizações no passado.</t>
  </si>
  <si>
    <t>Durante o processo de desenvolvimento de software, os membros da equipe necessitam de ferramentas para produzir os artefatos do projeto. Conseqüentemente, essas ferramentas necessitam ser atualizadas para correções de falhas e adição de novas características. O gerenciamento do processo de atualização em um Ambiente de Desenvolvimento Distribuído de Software (ADDS) traz desafios em relação à atualização das ferramentas disponíveis nesse ambiente. Este artigo tem por objetivo apresentar um mecanismo de atualização, responsável por gerenciar o processo de atualização de ferramentas num ADDS de forma dinâmica.</t>
  </si>
  <si>
    <t>PR, SP</t>
  </si>
  <si>
    <t>UEM, USP, UNICAMP</t>
  </si>
  <si>
    <t xml:space="preserve">Universidade Estadual de Maringá, Universidade de São Paulo, Universidade Estadual de Campinas </t>
  </si>
  <si>
    <t>O Desenvolvimento Distribuído de Software (DDS) envolve a interação entre diferentes organizações. Essa interação pode ser representada por um processo de negócio e implementada por meio de serviços Web. O cenário de interações interorganizacionais para DDS envolve questões que devem ser descritas por contratos eletrônicos. Essas questões devem ser negociadas para que se estabeleça um acordo entre as partes envolvidas. Este artigo apresenta um cenário de DDS no qual um ambiente computacional baseado em processos de negócio, serviços Web e contratos eletrônicos, chamado FeatureContract, é usado como apoio no estabelecimento de parcerias.</t>
  </si>
  <si>
    <t>PE, BR</t>
  </si>
  <si>
    <t>UFRPE, UFPE, CESAR, INES</t>
  </si>
  <si>
    <t>Universidade Federal Rural de Pernambuco, Universidade Federal de Pernambuco,   Centro de Estudos e Sistemas Avançados do Recife , Instituto Nacional para Engenharia de Software </t>
  </si>
  <si>
    <t>Este artigo apresenta o FireScrum, uma ferramenta de apoio ao planejamento e gerenciamento de projetos com Scrum, sendo especialmente útil para apoio a equipes distribuídas, sendo open source e baseada em tecnologia Rich Internet Application (RIA). Este artigo compreende uma visão geral do ciclo Scrum, a proposta arquitetural do FireScrum e uma análise funcional comparativa com outras ferramentas. Resultados de validações realizadas são analisados</t>
  </si>
  <si>
    <t>SP</t>
  </si>
  <si>
    <t>ITA</t>
  </si>
  <si>
    <t>Instituto Tecnológico de Aeronáutica</t>
  </si>
  <si>
    <t>No Desenvolvimento Distribuído de Software, problemas oriundos da característica distribuída tais como concorrência e deadlock afetam artefatos do processo de testes. A maioria dos projetos de software não os gerencia de maneira a evitar retornos ou atualizações inconsistentes desses artefatos. Uma arquitetura que considere tais problemas pode contribuir para o gerenciamento desses artefatos no processo de testes. Com o uso de um ambiente de desenvolvimento distribuído baseado em tal arquitetura, cenários de testes, casos de testes, stubs, drivers e resultados de testes podem ser compartilhados adequadamente.</t>
  </si>
  <si>
    <t>Este artigo apresenta os resultados de uma revisão sistemática da literatura sobre estimativas de esforço em projetos de desenvolvimento distribuído de software. Como os estudos encontrados não exploram explicitamente estimativa de esforço em ambientes distribuídos, o artigo também apresenta os resultados de entrevistas conduzidas com gerentes de projetos de software buscando entender as particularidades do processo e das técnicas de estimativas de esforço no contexto de projetos distribuídos</t>
  </si>
  <si>
    <t>PE, MG</t>
  </si>
  <si>
    <t>UFPE, CEFET-MG</t>
  </si>
  <si>
    <t>Universidade Federal de Pernambuco,  Centro 
Federal de Educação Tecnológica de Minas Gerais</t>
  </si>
  <si>
    <t>A comunicação tem?se destacado como um papel importante para o Desenvolvimento de Software, onde a falta ou a má comunicação pode comprometer o sucesso de projetos. A crescente demanda por profissionais qualificados tem forçado as empresas a optarem pelo Desenvolvimento Distribuído de Software DDS, dessa forma, a comunicação passa a ser fator determinante e crucial para o sucesso dos projetos distribuídos. Baseado na literatura e em um estudo empírico com entrevistas semi?estruturadas, este artigo tem o objetivo de propor boas práticas para tornar mais efetiva a gerência de comunicação em projetos DDS. Tais boas práticas auxiliam os stakeholders a minimizarem os impactos de uma má comunicação, reduzindo as possibilidades de insucessos nesses projetos</t>
  </si>
  <si>
    <t>BA</t>
  </si>
  <si>
    <t>UFBA</t>
  </si>
  <si>
    <t>universidade federal da baia</t>
  </si>
  <si>
    <t>Durante muito tempo, pesquisadores em Engenharia de Software têm discutido as ideias de desenvolvimento em massa para software inspirado em outras indústrias. Esse aspecto tem servido para explorar novas direções e esforços na área de reuso de software. Atualmente, empresas de desenvolvimento de software estão tentando direções semelhantes visando simular o processo de manufatura com o offshoring para diminuir os custos e melhorar a produtividade. Neste contexto, reuso de software pode ser um meio para obtenção desses benefícios?Quais são as oportunidades e desafios neste cenário?</t>
  </si>
  <si>
    <t>PE , RS , PI</t>
  </si>
  <si>
    <t>UFPE , PUCRS , UFPI</t>
  </si>
  <si>
    <t>universidade federal de pernambuco , pontifícia universidade católica do rio grande do sul , universidade federal do piauí</t>
  </si>
  <si>
    <t>Com a ascensão do Desenvolvimento Distribuído de Software as organizações tentam distribuir da melhor maneira possível suas atividades de desenvolvimento com interesse de melhorá-las. O objetivo deste trabalho é identificar quais modelos de colaboração são utilizados pelas organizações para desenvolver software no contexto distribuído, tendo como base o ciclo de vida básico do desenvolvimento tradicional, e onde as fases do mesmo são realizadas (onsite, distribuído/offshore e multi-site). O método de pesquisa utilizado para levantar as formas de colaboração foi uma revisão sistemática da literatura que analisou 841 trabalhos publicados desde 2000 até 2009.</t>
  </si>
  <si>
    <t>UTFPR , UEM</t>
  </si>
  <si>
    <t>universidade tecnológica federal do paraná , universidade estadual de maringá</t>
  </si>
  <si>
    <t>O Desenvolvimento Distribuído de Software (DDS) trouxe vantagens competitivas, mas também trouxe novos desafios. Um dos fatores críticos desse tipo de desenvolvimento é a comunicação. Para que todos os indivíduos, independente da sua localização geográfica, possuam a mesma compreensão semântica sobre as informações trocadas pelo ambiente, é necessária uma forma de representar essas informações, aumentando a clareza e diminuindo as ambiguidades. Este artigo apresenta a ontologia OntoDiSEN, uma ontologia de aplicação para um ambiente de DDS. Seu objetivo é auxiliar a comunicação¸ entre os indivíduos, possibilitando que as informações trocadas no ambiente, sejam compreendidas por todos os participantes do trabalho colaborativo.</t>
  </si>
  <si>
    <t>USP</t>
  </si>
  <si>
    <t>universidade de são paulo</t>
  </si>
  <si>
    <t>O Desenvolvimento Distribuído de Software (DDS) envolve a interação entre diferentes organizações, que pode ser representada por um processo de negócio e implementada por meio de serviços Web. Esse cenário envolve questões que devem ser descritas por contratos eletrônicos. O estabelecimento de contratos eletrônicos é uma atividade que possui uma considerável complexidade requerendo, portanto, mecanismos de reúso de informações. Neste artigo, ontologias computacionais são exploradas para esse fim no contexto de DDS. Um exemplo de aplicação ilustrativo é apresentado, assim como uma comparação é realizada com outro mecanismo comumente usada para fim semelhante – os modelos de características.</t>
  </si>
  <si>
    <t>universidade estadual de maringá</t>
  </si>
  <si>
    <t>O Desenvolvimento Distribuído de Software visa o aumento de produtividade, redução de custos e melhoria na qualidade. Porém, esse cenário adiciona novos desafios ao processo de desenvolvimento relacionados à comunicação, coordenação e controle. Esses fatores influenciam diretamente a qualidade do software produzido, dessa forma, é necessário trata-los adequadamente. Este artigo tem como objetivo apresentar um conjunto de recomendações¸ para apoiar o gerente de projetos quando adotada a estratégia distribuída para o desenvolvimento do software.</t>
  </si>
  <si>
    <t>PE , PI</t>
  </si>
  <si>
    <t>UFPE , UFPI</t>
  </si>
  <si>
    <t>universidade federal de pernambuco , universidade federal do piauí</t>
  </si>
  <si>
    <t>O Desenvolvimento Distribuído de Software herdou os problemas existentes no desenvolvimento tradicional e por diversas razões acrescentou outras dificuldades. Este artigo apresenta quais são os desafios de cada fase do ciclo de vida do desenvolvimento de software das empresas. Para identificar os desafios das fases do desenvolvimento foi realizada uma pesquisa de campo no mercado nacional de software, que através de um questionário as empresas citaram os problemas que enfrentam. Dessa forma, é possível visualizar alguns desafios que a indústria nacional enfrenta para cada fase do desenvolvimento.</t>
  </si>
  <si>
    <t>universidade federal da paraíba</t>
  </si>
  <si>
    <t>Abordagens de Linhas de Produto de Software (LPS) e de Desenvolvimento Distribuído de Software (DDS) vêm sendo adotadas pelas empresas a fim de melhorar a qualidade do software, encontrar mão-de-obra mais qualificada, e reduzir custos e tempo de desenvolvimento. Contudo, a alocação de equipes de desenvolvimento num cenário desse tipo não é trivial, pois deve levar em consideração características do projeto de software, das equipes e do contexto onde as mesmas se encontram. Assim, o framework proposto neste artigo tem o objetivo de prover recomendações sobre como alocar equipes aos componentes de software em um projeto distribuído de LPS, considerando aspectos técnicos e não técnicos</t>
  </si>
  <si>
    <t>UTFPR</t>
  </si>
  <si>
    <t>universidade tecnológica federal do paraná</t>
  </si>
  <si>
    <t>Este trabalho apresenta um modelo de dinâmica de desenvolvimento distribuído de software, cujo objetivo é representar a realidade e os aspectos de ambientes de DDS (Desenvolvimento distribuído de software). Com este modelo, é possível compreender o funcionamento de um projeto distribuído e auxiliar na eficácia da gestão da rede de produção, além de auxiliar as demais entidades e pessoas envolvidas a obterem um posicionamento na rede mais preciso. Os resultados apresentados neste trabalho respondem a questão de como as organizações desenvolvedoras de software produzem software de maneira distribuída. A originalidade da pesquisa centra-se na construção de um modelo de dinâmica do desenvolvimento distribuído elaborado com os dados levantados a partir de seis estudos de casos.</t>
  </si>
  <si>
    <t xml:space="preserve">universidade federal da paraíba </t>
  </si>
  <si>
    <t>Considerando os benefícios do desenvolvimento distribuído de software, muitas organizações alocam atividades de implementação para equipes de desenvolvimento globalmente distribuídas. No entanto, diferenças culturais, temporais e geográficas entre as equipes reduzem a efetividade da comunicação, afetando diretamente o progresso e o sucesso do projeto. A fim de mitigar os problemas de comunicação, esse artigo descreve uma abordagem para recomendação de alocação de equipes de desenvolvimento globalmente distribuídas para atividades de implementação de módulos de software, baseando-se em características não-técnicas das equipes e nas dependências entre os módulos de software.</t>
  </si>
  <si>
    <t>pontifícia universidade católica do rio grande do sul</t>
  </si>
  <si>
    <t>O objetivo desse artigo é classificar a unidade brasileira de duas empresas com ampla experiência em desenvolvimento global de software no modelo de capacidade WAVE. Nesse trabalho são apresentados os artefatos e processo criados para viabilizar essas avaliações, os resultados das mesmas e as melhorias sugeridas. Por fim é avaliada a relevância do modelo WAVE nas duas empresas escolhidas, baseando-se no resultado do estudo</t>
  </si>
  <si>
    <t>PE , RS</t>
  </si>
  <si>
    <t>UFPE, PUCRS</t>
  </si>
  <si>
    <t>universidade federal de pernambuco , pontifícia universidade católica do rio grande do sul</t>
  </si>
  <si>
    <t>O Desenvolvimento Distribuído de Software (DDS) acrescentou desafios a já complexa atividade de gerenciar projetos de software. Além disso, não existe um corpo de conhecimento amplamente reconhecido e aceito para o gerenciamento nesse contexto. Desta forma, essa pesquisa objetiva coletar e reunir desafios e boas práticas para o gerenciamento de projetos no DDS através de uma revisão sistemática da literatura</t>
  </si>
  <si>
    <t>universidade federal de pernambuco</t>
  </si>
  <si>
    <t>Este artigo apresenta as dificuldades, os fatores e ferramentas da gestão da comunicação em projetos de Desenvolvimento Distribuído de Software (DDS), identificados por meio de uma Revisão Sistemática Literatura, sendo especialmente útil para apoio aos gerentes de projeto e as equipes distribuídas. Este artigo compreende uma descrição do processo da Revisão Sistemática da Literatura, sistematização e avaliação dos resultados.</t>
  </si>
  <si>
    <t>O objetivo deste artigo é apresentar como os processos ágeis podem contribuir na dinâmica do desenvolvimento distribuído de software. Nesta pesquisa, o modelo M3DS, apresentado por L’Erario (2007) foi configurado em uma organização de desenvolvimento global de software. Desta maneira foi possível identificar em quais estados do modelo M3DS os métodos ágeis poderiam ser utilizados. O resultado indica o impacto do uso de processos ágeis relacionado a etapas do processo de desenvolvimento distribuído.</t>
  </si>
  <si>
    <t>Apesar dos desafios da estratégia FTS, esta forma de desenvolver software desperta o interesse da indústria, pois através desta estratégia, é possível diminuir o time-to-market, aumentando assim, a sua produtividade. Portanto, torna-se cada vez mais importante encontrar maneiras de atenuar estas dificuldades. Neste sentido, este trabalho apresenta uma proposta de um processo para a transferência diária de trabalho durante a fase de desenvolvimento de um projeto de software.</t>
  </si>
  <si>
    <t>Levando em consideração os benefícios do desenvolvimento distribuído de software, muitas organizações alocam atividades de implementação para equipes globalmente distribuídas. Entretanto, sua distância geográfica gera uma série de problemas que reduzem a efetividade da comunicação, afetando diretamente o progresso do projeto. Com o objetivo de reduzir esses problemas, baseando-se nos aspectos não-técnicos das equipes distribuídas e nas dependências entre módulos de software, este artigo descreve uma abordagem para alocação de equipes de desenvolvimento para módulos de software, detalhando os atributos utilizados na análise não- técnica e como eles são obtidos</t>
  </si>
  <si>
    <t>O Follow-the-Sun (FTS) é uma estratégia de desenvolvimento de software global que é aplicada para o desenvolvimento de software por 24 horas contínuas. No entanto, o FTS é pouco praticado pelas empresas e muitas vezes até mal compreendido. Dessa forma, com o propósito de fornecer uma base conceitual para a aplicação do FTS, neste artigo é apresentada a caracterização e distinção do FTS com base na comparação de outras definições encontradas na literatura. Além disso, apresentamos também lições aprendidas com estudos de caso conduzidos na área</t>
  </si>
  <si>
    <t>AM , RS</t>
  </si>
  <si>
    <t>UFAM , PUCRS</t>
  </si>
  <si>
    <t>universidade federal do amazonas , pontifícia universidade católica do rio grande do sul</t>
  </si>
  <si>
    <t>A alocação de tarefas é um processo decisório fundamental no planejamento de projetos. Sua complexidade aumenta no contexto de Desenvolvimento Distribuído de Software, onde fatores adicionais devem ser considerados, tais como diferenças culturais e diferenças de fuso-horário. Tais fatores irão impactar no custo para comunicação, coordenação e controle no decorrer do projeto. Diante deste cenário, as organizações necessitam de um apoio para uma análise das diversas possibilidades de alocação e visualização de seus impactos em projetos. Realizou-se então um mapeamento sistemático, que possibilitou identificar modelos que se propõem a solucionar os problemas da alocação de tarefas em projetos de DDS.</t>
  </si>
  <si>
    <t>UFPE , UFRPE, UFPI</t>
  </si>
  <si>
    <t>universidade federal de pernambuco , universidade federal rural de pernambuco , universidade federal do piauí</t>
  </si>
  <si>
    <t>Com a globalização dos negócios e o crescimento do mercado de software, o Desenvolvimento Distribuído de Software tem se destacado. Esta abordagem trouxe vantagens competitivas, como também herdou problemas da abordagem tradicional e acrescentou novos desafios. Nesse contexto, é possível observar uma movimentação em torno da utilização de metodologias ágeis, porém, ainda são poucas as experiências práticas capazes de apresentar soluções para a adaptação de processos ágeis neste ambiente. Dessa forma, este artigo relata a experiência de adaptar práticas ágeis do Scrum no contexto de um projeto distribuído de software que envolve uma equipe grande. São apresentados os resultados, as dificuldades e as lições aprendidas.</t>
  </si>
  <si>
    <t>O processo de seleção de recursos humanos é complexo e inerentemente subjetivo, exigindo mensurar e representar o conhecimento e experiência dos profissionais. A dificuldade é ainda maior em uma conjuntura distribuída. Além disso, no contexto de projetos de software, necessidades específicas devem ser levadas em consideração para tornar possível identificar e selecionar os profissionais mais adequados para desenvolver um projeto. Dessa forma, a fim de tratar a complexidade e a subjetividade, este trabalho apresenta uma abordagem baseada em lógica nebulosa (fuzzy) para seleção de equipes distribuídas tecnicamente qualificadas a implementar módulos de software de projetos de linhas de produto de software</t>
  </si>
  <si>
    <t>Regiões</t>
  </si>
  <si>
    <t>Artigos Aceitos</t>
  </si>
  <si>
    <t>O Desenvolvimento Orientado a Modelos (Model Driven Develop- ment - MDD) é uma abordagem que tem ganhado cada vez mais espaço, na indústria e na academia, trazendo grandes benefícios, como o aumento de produtividade, por exemplo. Contudo, ferramentas que auxiliem o desenvolvimento orientado a modelos de maneira colaborativa são praticamente inexistentes. Isso faz com que oMDDseja limitado ao desenvolvimento isolado e stand alone, dificultando que sistemas complexos e abrangentes sejam desenvolvidos com esse paradigma. Assim, este trabalho apresenta uma abordagem colaborativa orientada a modelos (CoMDD), a qual pretende evidenciar que a colaboração pode trazer benefícios aoMDDe permitir que desenvolvedores deMDDpossam trabalhar colaborativamente e distribuídas, aumentando ainda mais a produtividade, possibilitando a troca de experiências e conhecimentos, e permitindo o desenvolvimento de sistemas complexos com o uso de MDD</t>
  </si>
  <si>
    <t>AM</t>
  </si>
  <si>
    <t>Risk Management, Distributed Software Development, Communication related risks, Empirical research, Qualitative research, Communication strategies, Communication recommedations</t>
  </si>
  <si>
    <t>PI</t>
  </si>
  <si>
    <t>FRANCE</t>
  </si>
  <si>
    <t>AC</t>
  </si>
  <si>
    <t>USA</t>
  </si>
  <si>
    <t>DF</t>
  </si>
  <si>
    <t>contextual information, knowledge management, performance management, distributed software development, research agenda, university and industry collaboration</t>
  </si>
  <si>
    <t>SPAIN</t>
  </si>
  <si>
    <t>motivational factors, distributed software development, literature review.</t>
  </si>
  <si>
    <t>PE , AC</t>
  </si>
  <si>
    <t>UFPE , UFRPE , UFAC</t>
  </si>
  <si>
    <t>universidade federal de pernambuco , universidade federal rural de pernambuco , universidade federal de acre</t>
  </si>
  <si>
    <t>distributed software development, ontology, systematic literature review</t>
  </si>
  <si>
    <t>universidade federal do rio de janeiro</t>
  </si>
  <si>
    <t>software ecosystems; software reuse; component- based development; global software development; social networks; value-based software engineering</t>
  </si>
  <si>
    <t xml:space="preserve"> PUCRS</t>
  </si>
  <si>
    <t xml:space="preserve">Distributed Software Development; Real Time Simulated Co-location; Simulated Co-location; </t>
  </si>
  <si>
    <t>UFRPE, UFPE</t>
  </si>
  <si>
    <t xml:space="preserve">Universidade Federal Rural de Pernambuco, Universidade Federal de Pernambuco </t>
  </si>
  <si>
    <t>A Software Ecosystem (SECO) can be seen as a distributed network of software companies interacting either in a cooperative or competitive manner, being connected by a shared platform. They participate in complex interrelations and play different roles. This perspective brings several social, managerial and technical challenges. The goal of this paper is to investigate the challenges involved in requirements negotiation within a SECO. In particular, requirements must be negotiated by multiple and distributed actors, who have different and sometimes conflicting expectations. This paper starts a discussion on requirements negotiation strategies for a SECO by drawing concepts from Multi-Agent Systems field.</t>
  </si>
  <si>
    <t>We present the results of an empirical study carried out to identify the context and factors that can affect the productivity of a team of testers in distributed software projects. This information helped us to identify communication delay, knowledge expertise and software quality as the main factors that affected testers productivity.</t>
  </si>
  <si>
    <t>Cursos realizados a distância são uma realidade cada vez mais presente em diversas áreas do conhecimento. Na Computação não é diferente, o ensino de programação a distância requer novos desafios e práticas para que o aprendizado seja efetivo. Na literatura a prática de Programação em Par (PP) mostrou ser uma prática efetiva no processo de aprendizado. Contudo, poucos estudos analisaram a PP no contexto distribuído como ferramenta de ensino e a sua importância de compor um currículo de um curso de Computação. Este artigo tem como objetivo apresentar uma base conceitual de Programação em Par Distribuída (PPD) no ensino, apresentando as principais lições aprendidas dos estudos conduzidos na área.</t>
  </si>
  <si>
    <t>PRODAM, FUCAPI</t>
  </si>
  <si>
    <t>Processamento de Dados Amazonas S/A, Fundação Centro de Análise Pesquisa e Inovação Tecnológica</t>
  </si>
  <si>
    <t>Cada vez mais as empresas estão distribuindo seu processo de desenvolvimento de software de diversas maneiras possíveis em diferentes localidades, visando, entre outros, menores riscos, maiores lucros, e vantagem competitiva. Este artigo relata a experiência de desenvolvimento de software em processo iterativo de desenvolvimento, vencendo os desafios de comunicação, gestão, colaboração da equipe, e outros inerentes de um ambiente de desenvolvimento distribuído de software, e adquirindo várias lições aprendidas que poderão ser aplicadas num processo de melhoria contínua do processo de desenvolvimento</t>
  </si>
  <si>
    <t>Universidade Tecnológica Federal do Paraná</t>
  </si>
  <si>
    <t>O objetivo deste trabalho é aliar as prerrogativas delineadas pela teoria de desenvolvimento distribuído de software ao framework Scrum, gerando assim o DDScrum. Após propor um modelo que una teoria e framework, os autores do trabalho realizaram um experimento controlado do DDScrum. Durante o experimento foi possível verificar que empresas que desejam produzir de forma distribuída podem perfeitamente utilizar o Scrum para isto.</t>
  </si>
  <si>
    <t>UFPE, IF Sertão-PE</t>
  </si>
  <si>
    <t>Universidade Federal de Pernambuco, Instituto Federal do Sertão Pernambucano</t>
  </si>
  <si>
    <t>Nos últimos anos, o desenvolvimento de software tem exigido a me- lhoria de técnicas e ferramentas que facilitem a comunicação de equipes distri- buídas. Nesse contexto, ambientes de social coding vêm ganhando atenção de pesquisadores e principalmente das comunidades open source, devido ao fato do seu processo de desenvolvimento ser necessariamente distribuído. Este es- tudo objetivou entender como são realizadas as contribuições de brasileiros em ambientes distribuídos de software open source. Foram analisadas as ativida- des de mais de 4 mil desenvolvedores, e mais de 15 mil projetos no período de um ano. Os resultados mostram que a comunidade brasileira é pouco ativa, apesar de realizar vários tipos de contribuições.</t>
  </si>
  <si>
    <t>PE,RJ,RS</t>
  </si>
  <si>
    <t>UFPE, COPPE, PUCRS</t>
  </si>
  <si>
    <t>Um dos desafios mais críticos do Desenvolvimento Distribuído de Software (DDS) é uma comunicação efetiva, impactada por diversos fatores e, ao mesmo tempo, produzindo efeitos positivos ou negativos sobre os processos de Engenharia de Software. Esses fatores podem ser observados também no contexto dos Ecossistemas de Software (ECOSs), onde as arquiteturas e/ou plataformas têm a participação de desenvolvedores externos e usuários. Este artigo analisa os fatores e efeitos que influenciam a comunicação no DDS e discute novos fatores no contexto dos desafios de ECOSs. Espera-se compreender melhor como a comunicação pode ser impactada pelos ECOSs.</t>
  </si>
  <si>
    <t>AM,RJ,PR</t>
  </si>
  <si>
    <t xml:space="preserve">UFAM, COPPE,UEM </t>
  </si>
  <si>
    <t>A organização de Ecossistemas de Software (ECOSs) na indústria vem interferindo nos projetos com Desenvolvimento Distribuído de Software (DDS), uma vez que demanda novos modelos abertos de negócio, que geram novos papéis e padrões para colaboração, inovação e proposição de valor. Este cenário requer atenção aos testes, tidos como a segunda maior atividade terceirizada, dado que seu planejamento e controle visam assegurar o sucesso de projetos de DDS. Este artigo tem por objetivo identificar e classificar elementos que impactam o planejamento de testes em ambientes de DDS a partir de uma agenda de pesquisa, assim como discutir seus desdobramentos no contexto dos ECOSs, contribuindo para pesquisas envolvendo esses temas.</t>
  </si>
  <si>
    <t>Em projetos de software follow-the-sun (FTS), handoffs são realizados diariamente no início e no final de cada dia de trabalho em cada local de produção. Entretanto, o desenvolvimento de handoffs requer um grande esforço de coordenação, comunicação e colaboração de toda a equipe envolvida no projeto. Na literatura, estudos apontam o desenvolvimento de handoffs com um dos principais desafios para a prática de FTS na indústria de software. Dessa forma, este estudo relata a experiência obtida com o desenvolvimento de handoffs em um projeto de software com equipes distribuídas em três locais de produção. Os resultados obtidos neste estudo reportam desafios e soluções para a prática de handoffs em projetos de software FTS.</t>
  </si>
  <si>
    <t>Rs</t>
  </si>
  <si>
    <t>UNIVATES</t>
  </si>
  <si>
    <t>O atual cenário da economia mundial está fazendo com que cada vez mais as empresas de desenvolvimento de software tornem seus processos globais. Essa adaptação trás uma série de desafios para as equipes de desenvolvimento, uma vez que a comunicação, colaboração e o gerenciamento de atividades devem continuar a existir mesmo em equipes geograficamente distribuídas. O presente artigo tem como objetivo apresentar o CollabCode, ferramenta projetada visando criar um ambiente de desenvolvimento online capaz de suprir as necessidades de equipes de desenvolvimento geograficamente distribuídas.</t>
  </si>
  <si>
    <t>PE, SP, AC,</t>
  </si>
  <si>
    <t>UFPE, UFAC, USP, UFRPE</t>
  </si>
  <si>
    <t>A alta competitividade do mercado globalizado fez as empresas procurarem por soluções de desenvolvimento de software que garantissem uma maior competitividade, como o Desenvolvimento Distribuído de Software (DDS). Porém, obter comunicação de qualidade, fator crítico principal desse tipo de projeto, em função da distância espacial entre elas, torna-se uma tarefa difícil. Com o surgimento da Web 2.0 e suas ferramentas, foi notado que as características dessas ferramentas supriam a necessidade do auxílio à comunicação do DDS. Este artigo tem como objetivo efetuar um levantamento e analisar o uso das ferramentas da Web 2.0 com suporte à comunicação no DDS</t>
  </si>
  <si>
    <t>PE, RS</t>
  </si>
  <si>
    <t>Comunicação ainda se encontra entre os principais desafios do desenvolvimento distribuído de software. É importante para uma equipe distribuída ser capaz de comunicar-se corretamente em tempo hábil visando facilitar a coordenação de atividades do projeto. Este trabalho apresenta uma pesquisa em desenvolvimento que visa conceber um modelo de maturidade para dar apoio à comunicação no desenvolvimento distribuído de software inspirado em modelos de qualidade tais como o CMMI e o MPS.BR. Espera- se que este modelo auxilie gerentes de projeto a melhorar continuamente a comunicação neste tipo de projeto.</t>
  </si>
  <si>
    <t>Nas últimas décadas, foi possível observar que grandes empresas ao redor do mundo passaram a utilizar a estratégia de Desenvolvimento Distribuído de Software (DDS) como uma forma de construção de diferenciais competitivos no mercado global. No entanto, o gerenciamento das equipes de DDS revela algumas particularidades que devem ser levadas em consideração. Este trabalho em desenvolvimento apresenta resultados preliminares de uma revisão sistemática da literatura sobre gerenciamento de conflitos em equipes de desenvolvimento distribuído de software. O objetivo é coletar e reportar o conhecimento adquirido sobre as principais dificuldades encontradas no gerenciamento de conflitos em projetos de DDS. Nós encontramos um total de 72 trabalhos entre os anos de 1998 e 2012. Usando os dados que foram sistematicamente extraídos desses trabalhos, nós propusemos uma categorização dos principais desafios encontrados em 11 fatores que impactam o gerenciamento de conflitos em projetos de DDS. Nosso desejo é que esta categorização possa apoiar profissionais e pesquisadores no melhor entendimento dos desafios que permeiam os projetos de DDS para que eles possam estar cientes das principais dificuldades que irão enfrentar durante as atividades de gerenciamento de conflitos em um ambiente distribuído</t>
  </si>
  <si>
    <t>UNIFESP</t>
  </si>
  <si>
    <t>Planejar o teste de software desenvolvido no contexto distribuído gera preocupação principalmente em relação á Controle e Coordenação, Colaboração e Comunicação entre os membros das equipes de teste distribuídas: alocar os componentes de software entre as equipes, disponibilizar os artefatos de teste as equipes com permissão para acessa-los, planejar o teste de acordo com os componentes que formam o software, especificar estratégias e técnicas de teste empregadas que possibilite a sua reprodução pelas equipes distribuídas. Este artigo descreve uma revisão sistemática sobre ferramentas para o planejamento de teste dentro do contexto de Desenvolvimento Distribuído de Software considerando tais preocupações.</t>
  </si>
  <si>
    <t>Junto com a evolução da globalização relacional de empresas, a globalização do desenvolvimento distribuído de software (DDS) tornou-se uma realidade, aumentado distâncias entre equipes que desenvolvem um mesmo projeto. O DDS implica em benefícios e problemas. Segundo os autores, há fatores que impulsionam vantagens (custos econômicos, temporais, qualidade e flexibilidade de projetos) e desafios (comunicação, configuração da equipe, estrutura do trabalho e sincronia entre os stakeholders). A fim de minimizar os riscos e aumentar a capacidade em gerir projetos DDS, este artigo apresenta a utilização de mapas mentais como forma de auxilio para seu desenvolvimento. Esta pesquisa abrange a área organizada a partir do estudo de caso de cinco projetos que simulam o ambiente DDS em um curso de graduação. Os resultados identificaram a configuração do ambiente e os fatores de deficiência mapeados durante o desenvolvimento do projeto.</t>
  </si>
  <si>
    <t>O Desenvolvimento Distribuído de Software é definido e caracterizado principalmente pela colaboração e cooperação entre departamentos de organizações, e pela criação de grupos de pessoas que trabalham em um projeto comum, porém, localizados de forma geográfica e temporalmente dispersos. O objetivo deste projeto foi mapear a comunicação que ocorreu em ambientes de
DDS, com o intuito de definir a relação entre sua quantidade e qualidade, para então criar um conjunto de cenários para definição da comunicação em sítios de DDS, o estudo de caso foi o método escolhido para tal. Para isto foram utilizadas duas pesquisas precursoras a esta, sendo, uma delas um experimento controlado para o qual foi criado e configurado um cenário de maneira a se comportar como um ambiente de DDS. Neste foram desenvolvidos cinco projetos de software envolvendo dez grupos de pessoas que se interagiam de forma colaborativa, de maneira a reforçar este ambiente de DDS.</t>
  </si>
  <si>
    <t>O Desenvolvimento Distribuído de Software (DDS) é recente como área de pesquisa e vem crescendo ao longo dos últimos anos. No entanto devido a grande quantidade de termos envolvidos nesse cenário, muitas vezes um conceito é utilizado de forma equivocada, tornando o processo de busca por evidências empíricas uma tarefa complexa. Neste artigo são apresentados e discutidos os desafios na sistematização das evidências empíricas em DDS e o resultado de uma análise sobre três estudos publicados com o objetivo de propor soluções para estes desafios</t>
  </si>
  <si>
    <t>As part of a long-term research on high-performance projects in distributed software development, we sought to investigate what leads a project to meet or exceed its expected performance. In this paper we report on the preliminary findings of our qualitative exploratory study. We conducted 11 semi-structured interviews in a Fortune 500 IT multinational company that develops software in-house to support its business processes. Participants listed 7 factors that promote high-performance in their opinion, including timely attending the organization’s business needs. They also mentioned 5 issues related to achieving performance such as having a person mediating the conversation between the business and the IT departments. We present the identified factors and issues, and discuss their implications to the performance of distributed software development projects.</t>
  </si>
  <si>
    <t>BA, USA</t>
  </si>
  <si>
    <t>IFBA, Clemson University</t>
  </si>
  <si>
    <t>The ecosystem strategy has provided organizations with time and cost savings by facilitating collaboration with other organizations with similar prod- uct ideas and compatible business models. This strategy requires a compatible software architecture that is extensible, flexible, and scalable. In this position paper we clarify definitions, summarize our previous work, and describe our on- going work that supports defining effective and efficient ecosystem architectures and business models</t>
  </si>
  <si>
    <t>SP, SPAIN, FRANCE</t>
  </si>
  <si>
    <t>USP, University Rey Juan Carlos, Ingeniería y Economía del Transporte, University of South Brittany</t>
  </si>
  <si>
    <t>Systems engineering has invested considerable efforts in the development of complex-large systems, often known as Systems-of-Systems (SoS). However, the systematization of current engineering practices based on the inherent complexity and size of these systems is still challenging for software engineers. In this light we focus in this paper on the evolution aspects of SoS using dynamic variability techniques. We suggest paths where runtime variability mechanisms can help to manage the evolution of such complex- large systems.</t>
  </si>
  <si>
    <t>SP, FRANCE</t>
  </si>
  <si>
    <t>USP, Université de Bretagne Sud (UBS)</t>
  </si>
  <si>
    <t>Evaluation of software architectures is an important activity to the quality of software systems, as it verifies conformance and completeness of such architecture regarding requirements and goals. In another perspective, Systems-of-Systems (SoS) have emerged as a new class of software systems, which aggregates independent and heterogeneous constituent systems for performing new, emergent capabilities. Likewise, evaluation of SoS software architectures is also important for ensuring that important quality attributes are met in the SoS. The main contribution of this study is to present current challenges for evaluating SoS software architectures and point out important perspectives of research in that direction. We observe that despite the several proposals for evaluating software architectures of SoS, there is still no consensus on exactly what should be evaluated in such architectures. Moreover, there are several difficulties that need to be overcome.</t>
  </si>
  <si>
    <t>RJ, SP</t>
  </si>
  <si>
    <t>USP, COPPE</t>
  </si>
  <si>
    <t>Software development commonly involves many individuals, groups, and organizations related by one or more central platforms. Moreover, organizations have created and maintained products and services with different technologies and for diverse application domains. In this scenario, topics of research have arisen in the Software Engineering area in order to adequately deal with such large, complex software systems. In this perspective, Systems-of-Systems and Software Ecosystems are two topics that have been separately investigated and, at the same time, they are complementary. In this paper, we perform a preliminary discussion on how these topics are related to each other, aiming at supporting collaborative research</t>
  </si>
  <si>
    <t>PE, RJ, RS</t>
  </si>
  <si>
    <t>O gerenciamento de riscos é um dos fatores críticos para projetos de Desenvolvimento Distribuído de Software (DDS) visto que a identificação de riscos determina as incertezas que podem levar ao seu sucesso ou fracasso. Este artigo apresenta um framework para a gestão de riscos em projetos DDS utilizando práticas ágeis. O framework foi desenvolvido com base na literatura. Realizou-se uma avaliação preliminar com aproximadamente 30 profissionais da área de TI que trabalham com DDS. Os resultados indicam que o framework contribui para a área de DDS</t>
  </si>
  <si>
    <t>Organizações de TI, em suas relações, fazem parte de Ecossistemas de Software (ECOS) e enfrentam desafios ao organizar, selecionar e manter tecnologias em um mercado dinâmico. Em processos de decisão, elas têm dificuldades em visualizar informações de ECOS por carências na gestão dos ativos de software. Este artigo apresenta uma abordagem baseada em visões para apoiar a governança de ECOS a partir de atividades de arquitetura de TI. Uma ferramenta foi construída como extensão da Biblioteca Brechó</t>
  </si>
  <si>
    <t>Desenvolvimento distribuído de software se tornou uma realidade na última década. A comunidade de Engenharia de Software tem investigado aspectos técnicos, econômicos e sociais. Isso propiciou o desenvolvimento de plataformas globalizadas, de larga escala e de longo prazo, que tem sido tratado como o núcleo de ecossistemas de software. Entender como este cenário impacta a qualidade em ecossistemas de software tem sido um fator crítico. O artigo apresenta uma discussão inicial sobre qualidade em ecossistemas de software visando identificar alguns desafios e oportunidades</t>
  </si>
  <si>
    <t>Instituições</t>
  </si>
  <si>
    <t>UFRPE</t>
  </si>
  <si>
    <t>UFPI</t>
  </si>
  <si>
    <t>CESAR</t>
  </si>
  <si>
    <t>UFAM</t>
  </si>
  <si>
    <t>UFAC</t>
  </si>
  <si>
    <t>UFMG</t>
  </si>
  <si>
    <t>UNICENTRO</t>
  </si>
  <si>
    <t xml:space="preserve"> UMD - USA</t>
  </si>
  <si>
    <t>CEFET-MG</t>
  </si>
  <si>
    <t>FUCAPI</t>
  </si>
  <si>
    <t>IF Sertão-PE</t>
  </si>
  <si>
    <t>IFBA</t>
  </si>
  <si>
    <t>MP-DF</t>
  </si>
  <si>
    <t>PETROBRÁS</t>
  </si>
  <si>
    <t>PRODAM</t>
  </si>
  <si>
    <t>PUCMG</t>
  </si>
  <si>
    <t>SERPRO-BA</t>
  </si>
  <si>
    <t>UFF</t>
  </si>
  <si>
    <t>UFU</t>
  </si>
  <si>
    <t>UNICAMP</t>
  </si>
  <si>
    <t>UNIRIO</t>
  </si>
  <si>
    <t>Université de Bretagne Sud</t>
  </si>
  <si>
    <t>University of South Brittany</t>
  </si>
  <si>
    <t>University Rey Juan Carlos</t>
  </si>
  <si>
    <t>Clemson University</t>
  </si>
  <si>
    <t>Ingeniería y Economía del Transporte</t>
  </si>
  <si>
    <t>Citações do próprio evento pelos artigos aceitos</t>
  </si>
  <si>
    <t>ANO</t>
  </si>
  <si>
    <t>EVENTO</t>
  </si>
  <si>
    <t>CITAÇÕES</t>
  </si>
  <si>
    <t>Gestão Quantitativa de Pessoas em DDS: primeira aplicação de um modelo para o cálculo da distância percebida relativa em equipes distribuídas de desenvolvimento de software</t>
  </si>
  <si>
    <t>Dificuldades, Fatores e Ferramentas no Gerenciamento da Comunicação em projetos de Desenvolvimento Distribuído de Software: uma Revisão Sistemática da Literatura.</t>
  </si>
  <si>
    <t>Rodrigo Rocha,  Daniel Arcoverde,  Rebeka Brito,  Bruno Arôxa,  Catarina Costa,  Fabio Q. B. da Silva,  Jones Albuquerque,  Silvio Romero de Lemos Meira</t>
  </si>
  <si>
    <t>Geraldo F. C. Neto,  Thelma E. Colanzi,  Elisa H. M. Huzita</t>
  </si>
  <si>
    <t>Eustáquio São José de Faria,  Keiji Yamanaka,  Josimeire do Amaral Tavares,  Geraldo Henrique Lacerda Pinto,  Lowghan Henrique Sudário de Melo</t>
  </si>
  <si>
    <t>André Fonseca Amâncio,  Heitor Augustus Xavier Costa,  Antônio Maria Pereira de Resende,  Fábio Fagundes Silveira</t>
  </si>
  <si>
    <t>Adailton Magalhães Lima,  Rodrigo Quites Reis</t>
  </si>
  <si>
    <t>César Alberto da Silva,  Elisa Hatsue Moriya Huzita</t>
  </si>
  <si>
    <t>Rafael Cepêda,  Leonardo Murta,  Cláudia Werner</t>
  </si>
  <si>
    <t>Leandro P. de Aguiar,  Giorgio S. C. Merize,  Frank Siqueira</t>
  </si>
  <si>
    <t>João P. F. de Oliveira,  Talles Brito,  Adriana Oliveira,  Sebastião Jr,  Glêdson Elias</t>
  </si>
  <si>
    <t>Cleidson R. B. De Souza,  Sebastião B. Fonseca</t>
  </si>
  <si>
    <t>João Gustavo Prudêncio,  Leonardo Murta,  Cláudia Werner</t>
  </si>
  <si>
    <t>Felipe S. Furtado Soares,  Leila M. Rodrigues de Sousa Mariz,  Yguaratã C. Cavalcanti,  Joseane P. Rodrigues,  Mário G. Neto,  Petrus R. Bastos,  Ana Carina M. Almeida,  Daniel Thiago V. Pereira, Thierry da Silva Araújo,  Rafael S. M. Correia,  Jones Albuquerque</t>
  </si>
  <si>
    <t>Andrea Pinto,  Ana Carina M. Almeida,  Elisabeth Morais</t>
  </si>
  <si>
    <t>Viviane Malheiros,  Carolyn Seaman,  José Carlos Maldonado</t>
  </si>
  <si>
    <t>Gabriel Costa Silva,  Itana Maria de Souza Gimenes,  Marcelo Fantinato,  Maria Beatriz Felgar de Toledo</t>
  </si>
  <si>
    <t>Rafael Cassolato de Meneses,  Elisa Hatsue Moriya Huzita</t>
  </si>
  <si>
    <t>Carlos Peixoto,  Tiago Bortoluzzi,  Thais Ebling,  Rafael Prikladnicki,  Jorge Luis Nicolas Audy,  Mauricio Cristal,  John Wheeler</t>
  </si>
  <si>
    <t>Ivaldir Honório de Farias Junior,  Ryan Ribeiro de Azevedo,  Eric Rommel Galvão Dantas,  Rodrigo G. C. Rocha,  Wendell Campos Veras,  Fred Freitas,  Jether Oliveira Gomes</t>
  </si>
  <si>
    <t>Tatiane Macedo Prudencio Lopes,  Clovis Torres Fernandes</t>
  </si>
  <si>
    <t>Gislaine Camila Lapasini Leal,  Cesar Alberto da Silva,  Elisa Hatsue Moriya Huzita,  Tania F´atima Calvi Tait</t>
  </si>
  <si>
    <t>Vinicius S. dos Santos,  Thaís A. B. Pereira,  Bruno Luna Ribeiro,  Glêdson Elias</t>
  </si>
  <si>
    <t>Alinne C. Corrêa dos Santos,  Camila Cunha Borges,  Fabio Q. B. da Silva,  David E. S. Carneiro</t>
  </si>
  <si>
    <t>Catarina Costa,  Rodrigo Rocha,  Fabio Q. B. da Silva,  Rafael Prikladnicki</t>
  </si>
  <si>
    <t>Ana Paula Chaves,  Igor Steinmacher,  Gislaine Camila L. Leal,  Elisa H. M. Huzita</t>
  </si>
  <si>
    <t>Bruno Ribeiro,  Glêdson Elias</t>
  </si>
  <si>
    <t>Rafael A. Glanzner,  Rafael Prikladnicki,  Jorge L. N. Audy</t>
  </si>
  <si>
    <t>Anna Beatriz Marques,  Rosiane Rodrigues,  Rafael Prikladnicki,  Tayana Conte</t>
  </si>
  <si>
    <t>Vinicius Souza dos Santos,  Gledson Elias</t>
  </si>
  <si>
    <t>Josiane Kroll,  Jorge L. N. Audy,  Rafael Prikladnicki</t>
  </si>
  <si>
    <t>Alex N. Borges Júnior,  Fernando K. Kamei,  Pablo R. C. Alves,  Rodrigo G. C. Rocha,  Ryan R. Azevedo,  Silvio Meira</t>
  </si>
  <si>
    <t>Estevão R. Hess,  Jorge L. N. Audy</t>
  </si>
  <si>
    <t>Rodrigo Pereira dos Santos,  Cláudia Maria Lima Werner</t>
  </si>
  <si>
    <t>Ivaldir H. de Farias Junior,  Ryan R. de Azevedo,  Hermano P. de Moura,  Dennis S. Martins da Silva</t>
  </si>
  <si>
    <t>Elisa Hatsue Moriya Huzita,  Gislaine Camila Lapasini Leal,  Renato Balancieri,  Tânia Fátima Calvi Tait,  Edwin Cardoza,  Raqueline Ritter de Moura Penteado,  Rafael Leonardo Vivian</t>
  </si>
  <si>
    <t>Yuri Feitosa Negócio,  Gledson Elias</t>
  </si>
  <si>
    <t>UFRJ, PETROBRAS</t>
  </si>
  <si>
    <t>RJ, PE, RS, AM</t>
  </si>
  <si>
    <t>UFRJ, UFPE, PUCRS, UFAM</t>
  </si>
  <si>
    <t>Resumo ou Palavras-chave (para facilitar a geração da nuvem de palavra)</t>
  </si>
  <si>
    <t xml:space="preserve"> Análise Histórica do WDDS/WDES</t>
  </si>
  <si>
    <t xml:space="preserve"> Um Estudo Exploratório Sobre Contribuições Casuais em Projetos de Software Livre: Caso do Projeto LibreOffice</t>
  </si>
  <si>
    <t>Software Architecture Challenges in Distributed Development Settings: An Experience Report</t>
  </si>
  <si>
    <t>Towards Architectural Synthesis of Systems-of-Systems</t>
  </si>
  <si>
    <t>A Biological Inspiration to Support Emergent Behavior in Systems-of-Systems Development</t>
  </si>
  <si>
    <t xml:space="preserve"> Uma Arquitetura para Ecossistema de Software Científico</t>
  </si>
  <si>
    <t xml:space="preserve"> Ecossistema de Software no Contexto do Poder Judiciário - Apontamentos Sobre o ECOS Projudi no Estado do Paraná</t>
  </si>
  <si>
    <t>An Analysis of Dynamic Strategies during the Lifecycle of Software Ecosystems: The DS-SECO Model</t>
  </si>
  <si>
    <t xml:space="preserve"> A Systematic Mapping on the Relations between Systems-of-Systems and Software Ecosystems</t>
  </si>
  <si>
    <t xml:space="preserve"> Oportunizando a Aprendizagem e Gerência do Conhecimento em Ecossistemas de Software</t>
  </si>
  <si>
    <t xml:space="preserve"> Observing the health of the ecosystem supporting the emerging connected vehicle system of systems</t>
  </si>
  <si>
    <t xml:space="preserve"> Designing a Software Architecture for a Railway Safety Platform</t>
  </si>
  <si>
    <t xml:space="preserve"> A Summary of Challenges for "MDE as Service"</t>
  </si>
  <si>
    <t>A Conceptual Map of Model-Driven Development for Systems-of-Systems</t>
  </si>
  <si>
    <t xml:space="preserve"> A Preliminary Study of the Adherence to the Communication Maturity Model in Four Software Organizations</t>
  </si>
  <si>
    <t xml:space="preserve"> Uma Base de Casos, Problemas e Soluções para Equipes de Desenvolvimento Distribuído de Software</t>
  </si>
  <si>
    <t xml:space="preserve"> Research Opportunities for Mobile Software Ecosystems</t>
  </si>
  <si>
    <t xml:space="preserve"> Investigating Issues of Human-Computer Interaction for Systems-of-Systems</t>
  </si>
  <si>
    <t>Rodrigo Santos,  Ivaldir Farias Junior,  Thaiana Lima,  Luisa Hernández</t>
  </si>
  <si>
    <t>Felipe V. Ramos,  Marco Aurélio Gerosa,  Ana Paula Chaves,  Igor Steinmacher.</t>
  </si>
  <si>
    <t>Tassio Vale,  Taslim Arif,  Laia Gasparin</t>
  </si>
  <si>
    <t>Marcelo B. Gonçalves,  Flavio Oquendo</t>
  </si>
  <si>
    <t>Valdemar Vicente Graciano Neto,  Elisa Yumi Nakagawa</t>
  </si>
  <si>
    <t>Vitor Freitas,  José Maria N. David,  Regina Braga,  Fernanda Campos.</t>
  </si>
  <si>
    <t>Rebeca Teodoro da Silva,  Luiz Gustavo Ferreira Aguiar,  Elias Canhadas Genvigir.</t>
  </si>
  <si>
    <t>Rodolfo V. C. L de Andrade,  Carina Frota Alves,  George Valença.</t>
  </si>
  <si>
    <t>Helvio Jeronimo Junior,  Cláudia Werner.</t>
  </si>
  <si>
    <t>Davi Viana,  Tayana Conte</t>
  </si>
  <si>
    <t>John D. McGregor,  Simone da Silva Amorim,  Eduardo Santana de Almeida,  Christina von Flach G. Chavez</t>
  </si>
  <si>
    <t xml:space="preserve">Adailton Lima,  Rodrigo Reis,  Melina Alberio,  Carlos Lopes,  Cleidson de Souza. </t>
  </si>
  <si>
    <t>Fábio P. Basso,  Toacy C. Oliveira,  Claudia M. L. Werner.</t>
  </si>
  <si>
    <t>Valdemar Vicente Graciano Neto,  Milena Guessi,  Lucas Bueno Ruas de Oliveira,  Flavio Oquendo,  Lina Garcés,  Elisa Yumi Nakagawa.</t>
  </si>
  <si>
    <t>Nelson Leitão Júnior,  Ivaldir Farias Junior,  Sabrina Marczak,  Rodrigo Santos.</t>
  </si>
  <si>
    <t xml:space="preserve">Rodrigo G. C. Rocha,  Ryan Azevedo,  Anderson Pinheiro,  Levy Souza,  Ivaldir de Farias Junior,  Gabriel França,  Silvio Meira. </t>
  </si>
  <si>
    <t>Awdren Fontão,  Rodrigo Santos,  Arilo Claudio Dias-Neto.</t>
  </si>
  <si>
    <t>Valdemar Vicente Graciano Neto,  Lina Garcés,  Clodis Boscarioli,  Elisa Yumi Nakagawa.</t>
  </si>
</sst>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11"/>
      <color rgb="FF000000"/>
      <name val="Calibri"/>
    </font>
    <font>
      <b/>
      <sz val="11"/>
      <color rgb="FF000000"/>
      <name val="Calibri"/>
    </font>
    <font>
      <sz val="11"/>
      <color rgb="FF000000"/>
      <name val="Arial"/>
    </font>
    <font>
      <u/>
      <sz val="11"/>
      <color rgb="FF0000FF"/>
      <name val="Calibri"/>
    </font>
    <font>
      <sz val="11"/>
      <name val="Calibri"/>
    </font>
    <font>
      <u/>
      <sz val="11"/>
      <color rgb="FF0000FF"/>
      <name val="Calibri"/>
    </font>
    <font>
      <u/>
      <sz val="11"/>
      <color rgb="FF0000FF"/>
      <name val="Calibri"/>
    </font>
    <font>
      <b/>
      <sz val="11"/>
      <color rgb="FFFF0000"/>
      <name val="Calibri"/>
    </font>
    <font>
      <sz val="11"/>
      <color rgb="FFFF0000"/>
      <name val="Calibri"/>
    </font>
    <font>
      <sz val="11"/>
      <color rgb="FFFF9900"/>
      <name val="Calibri"/>
    </font>
    <font>
      <sz val="12"/>
      <name val="Calibri"/>
    </font>
    <font>
      <b/>
      <sz val="12"/>
      <color rgb="FF000000"/>
      <name val="Calibri"/>
    </font>
    <font>
      <sz val="11"/>
      <color rgb="FF0000FF"/>
      <name val="Calibri"/>
    </font>
    <font>
      <u/>
      <sz val="11"/>
      <color rgb="FF0000FF"/>
      <name val="Calibri"/>
    </font>
    <font>
      <u/>
      <sz val="11"/>
      <color rgb="FF0000FF"/>
      <name val="Calibri"/>
    </font>
    <font>
      <u/>
      <sz val="11"/>
      <color rgb="FF0000FF"/>
      <name val="Calibri"/>
    </font>
    <font>
      <sz val="12"/>
      <color rgb="FF000000"/>
      <name val="Calibri"/>
    </font>
    <font>
      <u/>
      <sz val="11"/>
      <color theme="10"/>
      <name val="Calibri"/>
    </font>
    <font>
      <sz val="11"/>
      <color rgb="FF000000"/>
      <name val="Arial"/>
      <family val="2"/>
    </font>
    <font>
      <sz val="11"/>
      <name val="Calibri"/>
      <family val="2"/>
    </font>
    <font>
      <sz val="11"/>
      <color rgb="FF000000"/>
      <name val="Calibri"/>
      <family val="2"/>
    </font>
    <font>
      <b/>
      <sz val="11"/>
      <color theme="0"/>
      <name val="Calibri"/>
      <family val="2"/>
    </font>
  </fonts>
  <fills count="3">
    <fill>
      <patternFill patternType="none"/>
    </fill>
    <fill>
      <patternFill patternType="gray125"/>
    </fill>
    <fill>
      <patternFill patternType="solid">
        <fgColor rgb="FFFFFFFF"/>
        <bgColor rgb="FFFFFFFF"/>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17" fillId="0" borderId="0" applyNumberFormat="0" applyFill="0" applyBorder="0" applyAlignment="0" applyProtection="0"/>
  </cellStyleXfs>
  <cellXfs count="57">
    <xf numFmtId="0" fontId="0" fillId="0" borderId="0" xfId="0" applyFont="1" applyAlignment="1"/>
    <xf numFmtId="0" fontId="1" fillId="0" borderId="0" xfId="0" applyFont="1" applyAlignment="1">
      <alignment horizontal="center"/>
    </xf>
    <xf numFmtId="0" fontId="1" fillId="0" borderId="0" xfId="0" applyFont="1" applyAlignment="1">
      <alignment horizontal="center" wrapText="1"/>
    </xf>
    <xf numFmtId="0" fontId="0" fillId="0" borderId="0" xfId="0" applyFont="1" applyAlignment="1">
      <alignment horizontal="center"/>
    </xf>
    <xf numFmtId="0" fontId="4" fillId="0" borderId="0" xfId="0" applyFont="1" applyAlignment="1">
      <alignment horizontal="center"/>
    </xf>
    <xf numFmtId="0" fontId="0" fillId="0" borderId="0" xfId="0" applyFont="1"/>
    <xf numFmtId="0" fontId="1" fillId="0" borderId="0" xfId="0" applyFont="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Font="1" applyAlignment="1">
      <alignment horizontal="center" vertical="center"/>
    </xf>
    <xf numFmtId="0" fontId="0" fillId="0" borderId="0" xfId="0" applyFont="1" applyAlignment="1">
      <alignment horizontal="center" vertical="center" wrapText="1"/>
    </xf>
    <xf numFmtId="0" fontId="0" fillId="0" borderId="0" xfId="0" applyFont="1" applyAlignment="1">
      <alignment horizontal="left" vertical="center" wrapText="1"/>
    </xf>
    <xf numFmtId="0" fontId="15" fillId="0" borderId="0" xfId="0" applyFont="1" applyAlignment="1">
      <alignment horizontal="left" vertical="center" wrapText="1"/>
    </xf>
    <xf numFmtId="0" fontId="0" fillId="0" borderId="0" xfId="0" applyFont="1"/>
    <xf numFmtId="0" fontId="0" fillId="0" borderId="0" xfId="0" applyFont="1"/>
    <xf numFmtId="0" fontId="1" fillId="0" borderId="0" xfId="0" applyFont="1"/>
    <xf numFmtId="0" fontId="1" fillId="0" borderId="0" xfId="0" applyFont="1"/>
    <xf numFmtId="0" fontId="16" fillId="0" borderId="0" xfId="0" applyFont="1" applyAlignment="1">
      <alignment horizontal="center" vertical="center" wrapText="1"/>
    </xf>
    <xf numFmtId="0" fontId="16" fillId="0" borderId="0" xfId="0" applyFont="1" applyAlignment="1">
      <alignment horizontal="left" vertical="center" wrapText="1"/>
    </xf>
    <xf numFmtId="0" fontId="16" fillId="2" borderId="0"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 fillId="0" borderId="5" xfId="0" applyFont="1" applyBorder="1" applyAlignment="1">
      <alignment horizontal="center" vertical="center"/>
    </xf>
    <xf numFmtId="0" fontId="0" fillId="0" borderId="1" xfId="0" applyFont="1" applyBorder="1" applyAlignment="1">
      <alignment horizontal="center" vertical="center"/>
    </xf>
    <xf numFmtId="0" fontId="4" fillId="0" borderId="1" xfId="0" applyFont="1" applyBorder="1" applyAlignment="1">
      <alignment horizontal="center" vertical="center"/>
    </xf>
    <xf numFmtId="0" fontId="0" fillId="0" borderId="3" xfId="0" applyFont="1" applyBorder="1" applyAlignment="1">
      <alignment horizontal="center" vertical="center"/>
    </xf>
    <xf numFmtId="0" fontId="12" fillId="0" borderId="1" xfId="0" applyFont="1" applyBorder="1" applyAlignment="1">
      <alignment horizontal="center" vertical="center"/>
    </xf>
    <xf numFmtId="0" fontId="17" fillId="0" borderId="1" xfId="1" applyBorder="1" applyAlignment="1">
      <alignment horizontal="center" vertical="center" wrapText="1"/>
    </xf>
    <xf numFmtId="0" fontId="7" fillId="0" borderId="1" xfId="0" applyFont="1" applyBorder="1" applyAlignment="1">
      <alignment horizontal="center" vertical="center"/>
    </xf>
    <xf numFmtId="0" fontId="8" fillId="0" borderId="3" xfId="0" applyFont="1" applyBorder="1" applyAlignment="1">
      <alignment horizontal="center" vertical="center"/>
    </xf>
    <xf numFmtId="0" fontId="9" fillId="0" borderId="1" xfId="0" applyFont="1" applyBorder="1" applyAlignment="1">
      <alignment horizontal="center" vertical="center"/>
    </xf>
    <xf numFmtId="0" fontId="8" fillId="0" borderId="1" xfId="0" applyFont="1" applyBorder="1" applyAlignment="1">
      <alignment horizontal="center" vertical="center"/>
    </xf>
    <xf numFmtId="0" fontId="0" fillId="0" borderId="8" xfId="0" applyFont="1" applyBorder="1" applyAlignment="1">
      <alignment horizontal="center" vertical="center"/>
    </xf>
    <xf numFmtId="0" fontId="9" fillId="0" borderId="8" xfId="0" applyFont="1" applyBorder="1" applyAlignment="1">
      <alignment horizontal="center" vertical="center"/>
    </xf>
    <xf numFmtId="0" fontId="4" fillId="0" borderId="8" xfId="0" applyFont="1" applyBorder="1" applyAlignment="1">
      <alignment horizontal="center" vertical="center"/>
    </xf>
    <xf numFmtId="0" fontId="0" fillId="0" borderId="9" xfId="0" applyFont="1" applyBorder="1" applyAlignment="1">
      <alignment horizontal="center" vertical="center"/>
    </xf>
    <xf numFmtId="0" fontId="1" fillId="0" borderId="0" xfId="0" applyFont="1" applyAlignment="1">
      <alignment vertical="center"/>
    </xf>
    <xf numFmtId="0" fontId="0" fillId="0" borderId="0" xfId="0" applyFont="1" applyAlignment="1">
      <alignment wrapText="1"/>
    </xf>
    <xf numFmtId="0" fontId="13"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Font="1" applyAlignment="1">
      <alignment vertical="center" wrapText="1"/>
    </xf>
    <xf numFmtId="0" fontId="17" fillId="0" borderId="8" xfId="1" applyBorder="1" applyAlignment="1">
      <alignment horizontal="center" vertical="center" wrapText="1"/>
    </xf>
    <xf numFmtId="0" fontId="19" fillId="0" borderId="8" xfId="0" applyFont="1" applyBorder="1" applyAlignment="1">
      <alignment horizontal="center" vertical="center"/>
    </xf>
    <xf numFmtId="0" fontId="19" fillId="0" borderId="1" xfId="0" applyFont="1" applyBorder="1" applyAlignment="1">
      <alignment horizontal="center" vertical="center"/>
    </xf>
    <xf numFmtId="0" fontId="18" fillId="0" borderId="7" xfId="0" applyFont="1" applyBorder="1" applyAlignment="1">
      <alignment horizontal="center" vertical="center" wrapText="1"/>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1" fillId="0" borderId="6" xfId="0" applyFont="1" applyBorder="1" applyAlignment="1">
      <alignment horizontal="center" vertical="center"/>
    </xf>
  </cellXfs>
  <cellStyles count="2">
    <cellStyle name="Hiperlink" xfId="1" builtinId="8"/>
    <cellStyle name="Normal" xfId="0" builtinId="0"/>
  </cellStyles>
  <dxfs count="11">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FF9900"/>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ertAlign val="baseline"/>
        <sz val="11"/>
        <color rgb="FF0000FF"/>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000000"/>
        <name val="Arial"/>
        <scheme val="none"/>
      </font>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indent="0" justifyLastLine="0" shrinkToFit="0" readingOrder="0"/>
    </dxf>
    <dxf>
      <border outline="0">
        <bottom style="thin">
          <color auto="1"/>
        </bottom>
      </border>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autoTitleDeleted val="1"/>
    <c:plotArea>
      <c:layout/>
      <c:barChart>
        <c:barDir val="col"/>
        <c:grouping val="clustered"/>
        <c:varyColors val="1"/>
        <c:ser>
          <c:idx val="0"/>
          <c:order val="0"/>
          <c:tx>
            <c:strRef>
              <c:f>'citações por edição'!$C$1</c:f>
              <c:strCache>
                <c:ptCount val="1"/>
                <c:pt idx="0">
                  <c:v>Quantidade de Citações por Ano</c:v>
                </c:pt>
              </c:strCache>
            </c:strRef>
          </c:tx>
          <c:spPr>
            <a:solidFill>
              <a:srgbClr val="4F81BD"/>
            </a:solidFill>
          </c:spPr>
          <c:invertIfNegative val="1"/>
          <c:dLbls>
            <c:spPr>
              <a:noFill/>
              <a:ln>
                <a:noFill/>
              </a:ln>
              <a:effectLst/>
            </c:spPr>
            <c:txPr>
              <a:bodyPr/>
              <a:lstStyle/>
              <a:p>
                <a:pPr>
                  <a:defRPr b="0" i="0"/>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'citações por edição'!$C$2:$C$9</c:f>
              <c:numCache>
                <c:formatCode>General</c:formatCode>
                <c:ptCount val="8"/>
                <c:pt idx="0">
                  <c:v>12</c:v>
                </c:pt>
                <c:pt idx="1">
                  <c:v>11</c:v>
                </c:pt>
                <c:pt idx="2">
                  <c:v>10</c:v>
                </c:pt>
                <c:pt idx="3">
                  <c:v>13</c:v>
                </c:pt>
                <c:pt idx="4">
                  <c:v>7</c:v>
                </c:pt>
                <c:pt idx="5">
                  <c:v>6</c:v>
                </c:pt>
                <c:pt idx="6">
                  <c:v>17</c:v>
                </c:pt>
                <c:pt idx="7">
                  <c:v>8</c:v>
                </c:pt>
              </c:numCache>
            </c:numRef>
          </c:val>
          <c:extLst xmlns:c16r2="http://schemas.microsoft.com/office/drawing/2015/06/chart">
            <c:ext xmlns:c16="http://schemas.microsoft.com/office/drawing/2014/chart" uri="{C3380CC4-5D6E-409C-BE32-E72D297353CC}">
              <c16:uniqueId val="{00000000-36C4-458E-93C4-54F6AEA31689}"/>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100567680"/>
        <c:axId val="100573568"/>
      </c:barChart>
      <c:catAx>
        <c:axId val="100567680"/>
        <c:scaling>
          <c:orientation val="minMax"/>
        </c:scaling>
        <c:delete val="0"/>
        <c:axPos val="b"/>
        <c:majorTickMark val="cross"/>
        <c:minorTickMark val="cross"/>
        <c:tickLblPos val="nextTo"/>
        <c:txPr>
          <a:bodyPr/>
          <a:lstStyle/>
          <a:p>
            <a:pPr>
              <a:defRPr/>
            </a:pPr>
            <a:endParaRPr lang="pt-BR"/>
          </a:p>
        </c:txPr>
        <c:crossAx val="100573568"/>
        <c:crosses val="autoZero"/>
        <c:auto val="1"/>
        <c:lblAlgn val="ctr"/>
        <c:lblOffset val="100"/>
        <c:noMultiLvlLbl val="1"/>
      </c:catAx>
      <c:valAx>
        <c:axId val="100573568"/>
        <c:scaling>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a:defRPr/>
            </a:pPr>
            <a:endParaRPr lang="pt-BR"/>
          </a:p>
        </c:txPr>
        <c:crossAx val="100567680"/>
        <c:crosses val="autoZero"/>
        <c:crossBetween val="between"/>
      </c:valAx>
      <c:spPr>
        <a:solidFill>
          <a:srgbClr val="FFFFFF"/>
        </a:solidFill>
      </c:spPr>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autoTitleDeleted val="1"/>
    <c:plotArea>
      <c:layout/>
      <c:barChart>
        <c:barDir val="col"/>
        <c:grouping val="stacked"/>
        <c:varyColors val="1"/>
        <c:ser>
          <c:idx val="0"/>
          <c:order val="0"/>
          <c:tx>
            <c:strRef>
              <c:f>'artigos por idioma'!$H$2</c:f>
              <c:strCache>
                <c:ptCount val="1"/>
                <c:pt idx="0">
                  <c:v>Inglês</c:v>
                </c:pt>
              </c:strCache>
            </c:strRef>
          </c:tx>
          <c:spPr>
            <a:solidFill>
              <a:srgbClr val="4F81BD"/>
            </a:solidFill>
          </c:spPr>
          <c:invertIfNegative val="1"/>
          <c:dLbls>
            <c:spPr>
              <a:noFill/>
              <a:ln>
                <a:noFill/>
              </a:ln>
              <a:effectLst/>
            </c:spPr>
            <c:txPr>
              <a:bodyPr/>
              <a:lstStyle/>
              <a:p>
                <a:pPr>
                  <a:defRPr b="0" i="0"/>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'artigos por idioma'!$I$1:$P$1</c:f>
              <c:numCache>
                <c:formatCode>General</c:formatCode>
                <c:ptCount val="8"/>
                <c:pt idx="0">
                  <c:v>2007</c:v>
                </c:pt>
                <c:pt idx="1">
                  <c:v>2008</c:v>
                </c:pt>
                <c:pt idx="2">
                  <c:v>2009</c:v>
                </c:pt>
                <c:pt idx="3">
                  <c:v>2010</c:v>
                </c:pt>
                <c:pt idx="4">
                  <c:v>2011</c:v>
                </c:pt>
                <c:pt idx="5">
                  <c:v>2012</c:v>
                </c:pt>
                <c:pt idx="6">
                  <c:v>2013</c:v>
                </c:pt>
                <c:pt idx="7">
                  <c:v>2014</c:v>
                </c:pt>
              </c:numCache>
            </c:numRef>
          </c:cat>
          <c:val>
            <c:numRef>
              <c:f>'artigos por idioma'!$I$2:$P$2</c:f>
              <c:numCache>
                <c:formatCode>General</c:formatCode>
                <c:ptCount val="8"/>
                <c:pt idx="0">
                  <c:v>2</c:v>
                </c:pt>
                <c:pt idx="1">
                  <c:v>1</c:v>
                </c:pt>
                <c:pt idx="2">
                  <c:v>2</c:v>
                </c:pt>
                <c:pt idx="3">
                  <c:v>0</c:v>
                </c:pt>
                <c:pt idx="4">
                  <c:v>0</c:v>
                </c:pt>
                <c:pt idx="5">
                  <c:v>6</c:v>
                </c:pt>
                <c:pt idx="6">
                  <c:v>2</c:v>
                </c:pt>
                <c:pt idx="7">
                  <c:v>5</c:v>
                </c:pt>
              </c:numCache>
            </c:numRef>
          </c:val>
          <c:extLst xmlns:c16r2="http://schemas.microsoft.com/office/drawing/2015/06/chart">
            <c:ext xmlns:c16="http://schemas.microsoft.com/office/drawing/2014/chart" uri="{C3380CC4-5D6E-409C-BE32-E72D297353CC}">
              <c16:uniqueId val="{00000000-5F4A-4152-9484-E1E0813722A2}"/>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tx>
            <c:strRef>
              <c:f>'artigos por idioma'!$H$3</c:f>
              <c:strCache>
                <c:ptCount val="1"/>
                <c:pt idx="0">
                  <c:v>Português</c:v>
                </c:pt>
              </c:strCache>
            </c:strRef>
          </c:tx>
          <c:spPr>
            <a:solidFill>
              <a:srgbClr val="C0504D"/>
            </a:solidFill>
          </c:spPr>
          <c:invertIfNegative val="1"/>
          <c:dLbls>
            <c:spPr>
              <a:noFill/>
              <a:ln>
                <a:noFill/>
              </a:ln>
              <a:effectLst/>
            </c:spPr>
            <c:txPr>
              <a:bodyPr/>
              <a:lstStyle/>
              <a:p>
                <a:pPr>
                  <a:defRPr b="0" i="0"/>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'artigos por idioma'!$I$1:$P$1</c:f>
              <c:numCache>
                <c:formatCode>General</c:formatCode>
                <c:ptCount val="8"/>
                <c:pt idx="0">
                  <c:v>2007</c:v>
                </c:pt>
                <c:pt idx="1">
                  <c:v>2008</c:v>
                </c:pt>
                <c:pt idx="2">
                  <c:v>2009</c:v>
                </c:pt>
                <c:pt idx="3">
                  <c:v>2010</c:v>
                </c:pt>
                <c:pt idx="4">
                  <c:v>2011</c:v>
                </c:pt>
                <c:pt idx="5">
                  <c:v>2012</c:v>
                </c:pt>
                <c:pt idx="6">
                  <c:v>2013</c:v>
                </c:pt>
                <c:pt idx="7">
                  <c:v>2014</c:v>
                </c:pt>
              </c:numCache>
            </c:numRef>
          </c:cat>
          <c:val>
            <c:numRef>
              <c:f>'artigos por idioma'!$I$3:$P$3</c:f>
              <c:numCache>
                <c:formatCode>General</c:formatCode>
                <c:ptCount val="8"/>
                <c:pt idx="0">
                  <c:v>10</c:v>
                </c:pt>
                <c:pt idx="1">
                  <c:v>11</c:v>
                </c:pt>
                <c:pt idx="2">
                  <c:v>8</c:v>
                </c:pt>
                <c:pt idx="3">
                  <c:v>13</c:v>
                </c:pt>
                <c:pt idx="4">
                  <c:v>7</c:v>
                </c:pt>
                <c:pt idx="5">
                  <c:v>0</c:v>
                </c:pt>
                <c:pt idx="6">
                  <c:v>15</c:v>
                </c:pt>
                <c:pt idx="7">
                  <c:v>3</c:v>
                </c:pt>
              </c:numCache>
            </c:numRef>
          </c:val>
          <c:extLst xmlns:c16r2="http://schemas.microsoft.com/office/drawing/2015/06/chart">
            <c:ext xmlns:c16="http://schemas.microsoft.com/office/drawing/2014/chart" uri="{C3380CC4-5D6E-409C-BE32-E72D297353CC}">
              <c16:uniqueId val="{00000001-5F4A-4152-9484-E1E0813722A2}"/>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overlap val="100"/>
        <c:axId val="127252736"/>
        <c:axId val="127254528"/>
      </c:barChart>
      <c:catAx>
        <c:axId val="127252736"/>
        <c:scaling>
          <c:orientation val="minMax"/>
        </c:scaling>
        <c:delete val="0"/>
        <c:axPos val="b"/>
        <c:numFmt formatCode="General" sourceLinked="1"/>
        <c:majorTickMark val="cross"/>
        <c:minorTickMark val="cross"/>
        <c:tickLblPos val="nextTo"/>
        <c:txPr>
          <a:bodyPr/>
          <a:lstStyle/>
          <a:p>
            <a:pPr>
              <a:defRPr/>
            </a:pPr>
            <a:endParaRPr lang="pt-BR"/>
          </a:p>
        </c:txPr>
        <c:crossAx val="127254528"/>
        <c:crosses val="autoZero"/>
        <c:auto val="1"/>
        <c:lblAlgn val="ctr"/>
        <c:lblOffset val="100"/>
        <c:noMultiLvlLbl val="1"/>
      </c:catAx>
      <c:valAx>
        <c:axId val="127254528"/>
        <c:scaling>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a:defRPr/>
            </a:pPr>
            <a:endParaRPr lang="pt-BR"/>
          </a:p>
        </c:txPr>
        <c:crossAx val="127252736"/>
        <c:crosses val="autoZero"/>
        <c:crossBetween val="between"/>
      </c:valAx>
      <c:spPr>
        <a:solidFill>
          <a:srgbClr val="FFFFFF"/>
        </a:solidFill>
      </c:spPr>
    </c:plotArea>
    <c:legend>
      <c:legendPos val="r"/>
      <c:overlay val="0"/>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autoTitleDeleted val="1"/>
    <c:plotArea>
      <c:layout/>
      <c:barChart>
        <c:barDir val="col"/>
        <c:grouping val="clustered"/>
        <c:varyColors val="1"/>
        <c:ser>
          <c:idx val="0"/>
          <c:order val="0"/>
          <c:tx>
            <c:strRef>
              <c:f>'artigos por região'!$B$1</c:f>
              <c:strCache>
                <c:ptCount val="1"/>
                <c:pt idx="0">
                  <c:v>Artigos Aceitos</c:v>
                </c:pt>
              </c:strCache>
            </c:strRef>
          </c:tx>
          <c:spPr>
            <a:solidFill>
              <a:srgbClr val="4F81BD"/>
            </a:solidFill>
          </c:spPr>
          <c:invertIfNegative val="1"/>
          <c:dLbls>
            <c:spPr>
              <a:noFill/>
              <a:ln>
                <a:noFill/>
              </a:ln>
              <a:effectLst/>
            </c:spPr>
            <c:txPr>
              <a:bodyPr/>
              <a:lstStyle/>
              <a:p>
                <a:pPr>
                  <a:defRPr b="0" i="0"/>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'artigos por região'!$A$2:$A$18</c:f>
              <c:strCache>
                <c:ptCount val="17"/>
                <c:pt idx="0">
                  <c:v>PE</c:v>
                </c:pt>
                <c:pt idx="1">
                  <c:v>RS</c:v>
                </c:pt>
                <c:pt idx="2">
                  <c:v>PR</c:v>
                </c:pt>
                <c:pt idx="3">
                  <c:v>RJ</c:v>
                </c:pt>
                <c:pt idx="4">
                  <c:v>SP</c:v>
                </c:pt>
                <c:pt idx="5">
                  <c:v>PB</c:v>
                </c:pt>
                <c:pt idx="6">
                  <c:v>AM</c:v>
                </c:pt>
                <c:pt idx="7">
                  <c:v>MG</c:v>
                </c:pt>
                <c:pt idx="8">
                  <c:v>PI</c:v>
                </c:pt>
                <c:pt idx="9">
                  <c:v>BA</c:v>
                </c:pt>
                <c:pt idx="10">
                  <c:v>PA</c:v>
                </c:pt>
                <c:pt idx="11">
                  <c:v>FRANCE</c:v>
                </c:pt>
                <c:pt idx="12">
                  <c:v>AC</c:v>
                </c:pt>
                <c:pt idx="13">
                  <c:v>USA</c:v>
                </c:pt>
                <c:pt idx="14">
                  <c:v>DF</c:v>
                </c:pt>
                <c:pt idx="15">
                  <c:v>SC</c:v>
                </c:pt>
                <c:pt idx="16">
                  <c:v>SPAIN</c:v>
                </c:pt>
              </c:strCache>
            </c:strRef>
          </c:cat>
          <c:val>
            <c:numRef>
              <c:f>'artigos por região'!$B$2:$B$18</c:f>
              <c:numCache>
                <c:formatCode>General</c:formatCode>
                <c:ptCount val="17"/>
                <c:pt idx="0">
                  <c:v>32</c:v>
                </c:pt>
                <c:pt idx="1">
                  <c:v>24</c:v>
                </c:pt>
                <c:pt idx="2">
                  <c:v>18</c:v>
                </c:pt>
                <c:pt idx="3">
                  <c:v>14</c:v>
                </c:pt>
                <c:pt idx="4">
                  <c:v>14</c:v>
                </c:pt>
                <c:pt idx="5">
                  <c:v>7</c:v>
                </c:pt>
                <c:pt idx="6">
                  <c:v>5</c:v>
                </c:pt>
                <c:pt idx="7">
                  <c:v>5</c:v>
                </c:pt>
                <c:pt idx="8">
                  <c:v>4</c:v>
                </c:pt>
                <c:pt idx="9">
                  <c:v>3</c:v>
                </c:pt>
                <c:pt idx="10">
                  <c:v>3</c:v>
                </c:pt>
                <c:pt idx="11">
                  <c:v>3</c:v>
                </c:pt>
                <c:pt idx="12">
                  <c:v>2</c:v>
                </c:pt>
                <c:pt idx="13">
                  <c:v>2</c:v>
                </c:pt>
                <c:pt idx="14">
                  <c:v>1</c:v>
                </c:pt>
                <c:pt idx="15">
                  <c:v>1</c:v>
                </c:pt>
                <c:pt idx="16">
                  <c:v>1</c:v>
                </c:pt>
              </c:numCache>
            </c:numRef>
          </c:val>
          <c:extLst xmlns:c16r2="http://schemas.microsoft.com/office/drawing/2015/06/chart">
            <c:ext xmlns:c16="http://schemas.microsoft.com/office/drawing/2014/chart" uri="{C3380CC4-5D6E-409C-BE32-E72D297353CC}">
              <c16:uniqueId val="{00000000-D405-41A0-9AA4-193B14F65D8D}"/>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127116032"/>
        <c:axId val="127117568"/>
      </c:barChart>
      <c:catAx>
        <c:axId val="127116032"/>
        <c:scaling>
          <c:orientation val="minMax"/>
        </c:scaling>
        <c:delete val="0"/>
        <c:axPos val="b"/>
        <c:numFmt formatCode="General" sourceLinked="0"/>
        <c:majorTickMark val="cross"/>
        <c:minorTickMark val="cross"/>
        <c:tickLblPos val="nextTo"/>
        <c:txPr>
          <a:bodyPr/>
          <a:lstStyle/>
          <a:p>
            <a:pPr>
              <a:defRPr/>
            </a:pPr>
            <a:endParaRPr lang="pt-BR"/>
          </a:p>
        </c:txPr>
        <c:crossAx val="127117568"/>
        <c:crosses val="autoZero"/>
        <c:auto val="1"/>
        <c:lblAlgn val="ctr"/>
        <c:lblOffset val="100"/>
        <c:noMultiLvlLbl val="1"/>
      </c:catAx>
      <c:valAx>
        <c:axId val="127117568"/>
        <c:scaling>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a:defRPr/>
            </a:pPr>
            <a:endParaRPr lang="pt-BR"/>
          </a:p>
        </c:txPr>
        <c:crossAx val="127116032"/>
        <c:crosses val="autoZero"/>
        <c:crossBetween val="between"/>
      </c:valAx>
      <c:spPr>
        <a:solidFill>
          <a:srgbClr val="FFFFFF"/>
        </a:solidFill>
      </c:spPr>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autoTitleDeleted val="1"/>
    <c:plotArea>
      <c:layout/>
      <c:barChart>
        <c:barDir val="col"/>
        <c:grouping val="clustered"/>
        <c:varyColors val="1"/>
        <c:ser>
          <c:idx val="0"/>
          <c:order val="0"/>
          <c:tx>
            <c:strRef>
              <c:f>'artigos por instituições'!$B$1</c:f>
              <c:strCache>
                <c:ptCount val="1"/>
                <c:pt idx="0">
                  <c:v>Artigos Aceitos</c:v>
                </c:pt>
              </c:strCache>
            </c:strRef>
          </c:tx>
          <c:spPr>
            <a:solidFill>
              <a:srgbClr val="4F81BD"/>
            </a:solidFill>
          </c:spPr>
          <c:invertIfNegative val="1"/>
          <c:dLbls>
            <c:spPr>
              <a:noFill/>
              <a:ln>
                <a:noFill/>
              </a:ln>
              <a:effectLst/>
            </c:spPr>
            <c:txPr>
              <a:bodyPr/>
              <a:lstStyle/>
              <a:p>
                <a:pPr>
                  <a:defRPr b="0" i="0"/>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'artigos por instituições'!$A$2:$A$17</c:f>
              <c:strCache>
                <c:ptCount val="16"/>
                <c:pt idx="0">
                  <c:v>UFPE</c:v>
                </c:pt>
                <c:pt idx="1">
                  <c:v>PUCRS</c:v>
                </c:pt>
                <c:pt idx="2">
                  <c:v>UFRJ</c:v>
                </c:pt>
                <c:pt idx="3">
                  <c:v>UEM</c:v>
                </c:pt>
                <c:pt idx="4">
                  <c:v>USP</c:v>
                </c:pt>
                <c:pt idx="5">
                  <c:v>UFPB</c:v>
                </c:pt>
                <c:pt idx="6">
                  <c:v>UTFPR</c:v>
                </c:pt>
                <c:pt idx="7">
                  <c:v>UFRPE</c:v>
                </c:pt>
                <c:pt idx="8">
                  <c:v>UFPI</c:v>
                </c:pt>
                <c:pt idx="9">
                  <c:v>CESAR</c:v>
                </c:pt>
                <c:pt idx="10">
                  <c:v>UFAM</c:v>
                </c:pt>
                <c:pt idx="11">
                  <c:v>UFPA</c:v>
                </c:pt>
                <c:pt idx="12">
                  <c:v>UNIFESP</c:v>
                </c:pt>
                <c:pt idx="13">
                  <c:v>UFAC</c:v>
                </c:pt>
                <c:pt idx="14">
                  <c:v>UFMG</c:v>
                </c:pt>
                <c:pt idx="15">
                  <c:v>UNICENTRO</c:v>
                </c:pt>
              </c:strCache>
            </c:strRef>
          </c:cat>
          <c:val>
            <c:numRef>
              <c:f>'artigos por instituições'!$B$2:$B$17</c:f>
              <c:numCache>
                <c:formatCode>General</c:formatCode>
                <c:ptCount val="16"/>
                <c:pt idx="0">
                  <c:v>23</c:v>
                </c:pt>
                <c:pt idx="1">
                  <c:v>22</c:v>
                </c:pt>
                <c:pt idx="2">
                  <c:v>11</c:v>
                </c:pt>
                <c:pt idx="3">
                  <c:v>10</c:v>
                </c:pt>
                <c:pt idx="4">
                  <c:v>9</c:v>
                </c:pt>
                <c:pt idx="5">
                  <c:v>7</c:v>
                </c:pt>
                <c:pt idx="6">
                  <c:v>7</c:v>
                </c:pt>
                <c:pt idx="7">
                  <c:v>5</c:v>
                </c:pt>
                <c:pt idx="8">
                  <c:v>4</c:v>
                </c:pt>
                <c:pt idx="9">
                  <c:v>3</c:v>
                </c:pt>
                <c:pt idx="10">
                  <c:v>3</c:v>
                </c:pt>
                <c:pt idx="11">
                  <c:v>3</c:v>
                </c:pt>
                <c:pt idx="12">
                  <c:v>3</c:v>
                </c:pt>
                <c:pt idx="13">
                  <c:v>2</c:v>
                </c:pt>
                <c:pt idx="14">
                  <c:v>2</c:v>
                </c:pt>
                <c:pt idx="15">
                  <c:v>2</c:v>
                </c:pt>
              </c:numCache>
            </c:numRef>
          </c:val>
          <c:extLst xmlns:c16r2="http://schemas.microsoft.com/office/drawing/2015/06/chart">
            <c:ext xmlns:c16="http://schemas.microsoft.com/office/drawing/2014/chart" uri="{C3380CC4-5D6E-409C-BE32-E72D297353CC}">
              <c16:uniqueId val="{00000000-8C2C-409E-AEF5-FEED4B8CF7DB}"/>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127441536"/>
        <c:axId val="127447424"/>
      </c:barChart>
      <c:catAx>
        <c:axId val="127441536"/>
        <c:scaling>
          <c:orientation val="minMax"/>
        </c:scaling>
        <c:delete val="0"/>
        <c:axPos val="b"/>
        <c:numFmt formatCode="General" sourceLinked="0"/>
        <c:majorTickMark val="cross"/>
        <c:minorTickMark val="cross"/>
        <c:tickLblPos val="nextTo"/>
        <c:txPr>
          <a:bodyPr/>
          <a:lstStyle/>
          <a:p>
            <a:pPr>
              <a:defRPr/>
            </a:pPr>
            <a:endParaRPr lang="pt-BR"/>
          </a:p>
        </c:txPr>
        <c:crossAx val="127447424"/>
        <c:crosses val="autoZero"/>
        <c:auto val="1"/>
        <c:lblAlgn val="ctr"/>
        <c:lblOffset val="100"/>
        <c:noMultiLvlLbl val="1"/>
      </c:catAx>
      <c:valAx>
        <c:axId val="127447424"/>
        <c:scaling>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a:defRPr/>
            </a:pPr>
            <a:endParaRPr lang="pt-BR"/>
          </a:p>
        </c:txPr>
        <c:crossAx val="127441536"/>
        <c:crosses val="autoZero"/>
        <c:crossBetween val="between"/>
      </c:valAx>
      <c:spPr>
        <a:solidFill>
          <a:srgbClr val="FFFFFF"/>
        </a:solidFill>
      </c:spPr>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autoTitleDeleted val="1"/>
    <c:plotArea>
      <c:layout/>
      <c:barChart>
        <c:barDir val="col"/>
        <c:grouping val="clustered"/>
        <c:varyColors val="1"/>
        <c:ser>
          <c:idx val="0"/>
          <c:order val="0"/>
          <c:tx>
            <c:strRef>
              <c:f>'citações do evento'!$C$1</c:f>
              <c:strCache>
                <c:ptCount val="1"/>
                <c:pt idx="0">
                  <c:v>Citações do próprio evento pelos artigos aceitos</c:v>
                </c:pt>
              </c:strCache>
            </c:strRef>
          </c:tx>
          <c:spPr>
            <a:solidFill>
              <a:srgbClr val="4F81BD"/>
            </a:solidFill>
          </c:spPr>
          <c:invertIfNegative val="1"/>
          <c:dLbls>
            <c:spPr>
              <a:noFill/>
              <a:ln>
                <a:noFill/>
              </a:ln>
              <a:effectLst/>
            </c:spPr>
            <c:txPr>
              <a:bodyPr/>
              <a:lstStyle/>
              <a:p>
                <a:pPr>
                  <a:defRPr b="0" i="0"/>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'citações do evento'!$C$2:$C$9</c:f>
              <c:numCache>
                <c:formatCode>General</c:formatCode>
                <c:ptCount val="8"/>
                <c:pt idx="0">
                  <c:v>1</c:v>
                </c:pt>
                <c:pt idx="1">
                  <c:v>1</c:v>
                </c:pt>
                <c:pt idx="2">
                  <c:v>4</c:v>
                </c:pt>
                <c:pt idx="3">
                  <c:v>1</c:v>
                </c:pt>
                <c:pt idx="4">
                  <c:v>0</c:v>
                </c:pt>
                <c:pt idx="5">
                  <c:v>3</c:v>
                </c:pt>
                <c:pt idx="6">
                  <c:v>3</c:v>
                </c:pt>
                <c:pt idx="7">
                  <c:v>0</c:v>
                </c:pt>
              </c:numCache>
            </c:numRef>
          </c:val>
          <c:extLst xmlns:c16r2="http://schemas.microsoft.com/office/drawing/2015/06/chart">
            <c:ext xmlns:c16="http://schemas.microsoft.com/office/drawing/2014/chart" uri="{C3380CC4-5D6E-409C-BE32-E72D297353CC}">
              <c16:uniqueId val="{00000000-AFBE-423C-A007-AE25ED52EDF6}"/>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127357312"/>
        <c:axId val="127358848"/>
      </c:barChart>
      <c:catAx>
        <c:axId val="127357312"/>
        <c:scaling>
          <c:orientation val="minMax"/>
        </c:scaling>
        <c:delete val="0"/>
        <c:axPos val="b"/>
        <c:majorTickMark val="cross"/>
        <c:minorTickMark val="cross"/>
        <c:tickLblPos val="nextTo"/>
        <c:txPr>
          <a:bodyPr/>
          <a:lstStyle/>
          <a:p>
            <a:pPr>
              <a:defRPr/>
            </a:pPr>
            <a:endParaRPr lang="pt-BR"/>
          </a:p>
        </c:txPr>
        <c:crossAx val="127358848"/>
        <c:crosses val="autoZero"/>
        <c:auto val="1"/>
        <c:lblAlgn val="ctr"/>
        <c:lblOffset val="100"/>
        <c:noMultiLvlLbl val="1"/>
      </c:catAx>
      <c:valAx>
        <c:axId val="127358848"/>
        <c:scaling>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a:defRPr/>
            </a:pPr>
            <a:endParaRPr lang="pt-BR"/>
          </a:p>
        </c:txPr>
        <c:crossAx val="127357312"/>
        <c:crosses val="autoZero"/>
        <c:crossBetween val="between"/>
      </c:valAx>
      <c:spPr>
        <a:solidFill>
          <a:srgbClr val="FFFFFF"/>
        </a:solidFill>
      </c:spPr>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a:defRPr sz="1200" b="1" i="0"/>
            </a:pPr>
            <a:r>
              <a:rPr lang="pt-BR"/>
              <a:t>Citações Google Academico/Scholar</a:t>
            </a:r>
          </a:p>
        </c:rich>
      </c:tx>
      <c:overlay val="0"/>
    </c:title>
    <c:autoTitleDeleted val="0"/>
    <c:plotArea>
      <c:layout/>
      <c:barChart>
        <c:barDir val="col"/>
        <c:grouping val="clustered"/>
        <c:varyColors val="1"/>
        <c:ser>
          <c:idx val="0"/>
          <c:order val="0"/>
          <c:tx>
            <c:strRef>
              <c:f>'citações do evento'!$G$1</c:f>
              <c:strCache>
                <c:ptCount val="1"/>
                <c:pt idx="0">
                  <c:v>CITAÇÕES</c:v>
                </c:pt>
              </c:strCache>
            </c:strRef>
          </c:tx>
          <c:spPr>
            <a:solidFill>
              <a:srgbClr val="4F81BD"/>
            </a:solidFill>
          </c:spPr>
          <c:invertIfNegative val="1"/>
          <c:dLbls>
            <c:spPr>
              <a:noFill/>
              <a:ln>
                <a:noFill/>
              </a:ln>
              <a:effectLst/>
            </c:spPr>
            <c:txPr>
              <a:bodyPr/>
              <a:lstStyle/>
              <a:p>
                <a:pPr>
                  <a:defRPr b="0" i="0"/>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'citações do evento'!$G$2:$G$9</c:f>
              <c:numCache>
                <c:formatCode>General</c:formatCode>
                <c:ptCount val="8"/>
                <c:pt idx="0">
                  <c:v>35</c:v>
                </c:pt>
                <c:pt idx="1">
                  <c:v>17</c:v>
                </c:pt>
                <c:pt idx="2">
                  <c:v>12</c:v>
                </c:pt>
                <c:pt idx="3">
                  <c:v>16</c:v>
                </c:pt>
                <c:pt idx="4">
                  <c:v>7</c:v>
                </c:pt>
                <c:pt idx="5">
                  <c:v>24</c:v>
                </c:pt>
                <c:pt idx="6">
                  <c:v>0</c:v>
                </c:pt>
                <c:pt idx="7">
                  <c:v>1</c:v>
                </c:pt>
              </c:numCache>
            </c:numRef>
          </c:val>
          <c:extLst xmlns:c16r2="http://schemas.microsoft.com/office/drawing/2015/06/chart">
            <c:ext xmlns:c16="http://schemas.microsoft.com/office/drawing/2014/chart" uri="{C3380CC4-5D6E-409C-BE32-E72D297353CC}">
              <c16:uniqueId val="{00000000-BA79-477F-BCE7-DD7A81CFD9AE}"/>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127379712"/>
        <c:axId val="127385600"/>
      </c:barChart>
      <c:catAx>
        <c:axId val="127379712"/>
        <c:scaling>
          <c:orientation val="minMax"/>
        </c:scaling>
        <c:delete val="0"/>
        <c:axPos val="b"/>
        <c:majorTickMark val="cross"/>
        <c:minorTickMark val="cross"/>
        <c:tickLblPos val="nextTo"/>
        <c:txPr>
          <a:bodyPr/>
          <a:lstStyle/>
          <a:p>
            <a:pPr>
              <a:defRPr/>
            </a:pPr>
            <a:endParaRPr lang="pt-BR"/>
          </a:p>
        </c:txPr>
        <c:crossAx val="127385600"/>
        <c:crosses val="autoZero"/>
        <c:auto val="1"/>
        <c:lblAlgn val="ctr"/>
        <c:lblOffset val="100"/>
        <c:noMultiLvlLbl val="1"/>
      </c:catAx>
      <c:valAx>
        <c:axId val="127385600"/>
        <c:scaling>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a:defRPr/>
            </a:pPr>
            <a:endParaRPr lang="pt-BR"/>
          </a:p>
        </c:txPr>
        <c:crossAx val="127379712"/>
        <c:crosses val="autoZero"/>
        <c:crossBetween val="between"/>
      </c:valAx>
      <c:spPr>
        <a:solidFill>
          <a:srgbClr val="FFFFFF"/>
        </a:solidFill>
      </c:spPr>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457200</xdr:colOff>
      <xdr:row>5</xdr:row>
      <xdr:rowOff>171450</xdr:rowOff>
    </xdr:from>
    <xdr:to>
      <xdr:col>14</xdr:col>
      <xdr:colOff>152400</xdr:colOff>
      <xdr:row>20</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6</xdr:col>
      <xdr:colOff>457200</xdr:colOff>
      <xdr:row>5</xdr:row>
      <xdr:rowOff>171450</xdr:rowOff>
    </xdr:from>
    <xdr:to>
      <xdr:col>14</xdr:col>
      <xdr:colOff>152400</xdr:colOff>
      <xdr:row>20</xdr:row>
      <xdr:rowOff>57150</xdr:rowOff>
    </xdr:to>
    <xdr:graphicFrame macro="">
      <xdr:nvGraphicFramePr>
        <xdr:cNvPr id="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6</xdr:col>
      <xdr:colOff>114300</xdr:colOff>
      <xdr:row>5</xdr:row>
      <xdr:rowOff>171450</xdr:rowOff>
    </xdr:from>
    <xdr:to>
      <xdr:col>13</xdr:col>
      <xdr:colOff>419100</xdr:colOff>
      <xdr:row>20</xdr:row>
      <xdr:rowOff>57150</xdr:rowOff>
    </xdr:to>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5</xdr:col>
      <xdr:colOff>19050</xdr:colOff>
      <xdr:row>5</xdr:row>
      <xdr:rowOff>171450</xdr:rowOff>
    </xdr:from>
    <xdr:to>
      <xdr:col>12</xdr:col>
      <xdr:colOff>323850</xdr:colOff>
      <xdr:row>20</xdr:row>
      <xdr:rowOff>57150</xdr:rowOff>
    </xdr:to>
    <xdr:graphicFrame macro="">
      <xdr:nvGraphicFramePr>
        <xdr:cNvPr id="5"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2</xdr:col>
      <xdr:colOff>771525</xdr:colOff>
      <xdr:row>14</xdr:row>
      <xdr:rowOff>9525</xdr:rowOff>
    </xdr:from>
    <xdr:to>
      <xdr:col>9</xdr:col>
      <xdr:colOff>238125</xdr:colOff>
      <xdr:row>28</xdr:row>
      <xdr:rowOff>85725</xdr:rowOff>
    </xdr:to>
    <xdr:graphicFrame macro="">
      <xdr:nvGraphicFramePr>
        <xdr:cNvPr id="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152400</xdr:colOff>
      <xdr:row>0</xdr:row>
      <xdr:rowOff>123825</xdr:rowOff>
    </xdr:from>
    <xdr:to>
      <xdr:col>15</xdr:col>
      <xdr:colOff>457200</xdr:colOff>
      <xdr:row>13</xdr:row>
      <xdr:rowOff>9525</xdr:rowOff>
    </xdr:to>
    <xdr:graphicFrame macro="">
      <xdr:nvGraphicFramePr>
        <xdr:cNvPr id="6"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tables/table1.xml><?xml version="1.0" encoding="utf-8"?>
<table xmlns="http://schemas.openxmlformats.org/spreadsheetml/2006/main" id="2" name="Tabela2" displayName="Tabela2" ref="A1:F104" totalsRowShown="0" headerRowDxfId="10" dataDxfId="8" headerRowBorderDxfId="9" tableBorderDxfId="7" totalsRowBorderDxfId="6">
  <autoFilter ref="A1:F104"/>
  <sortState ref="A2:F104">
    <sortCondition ref="C1:C104"/>
  </sortState>
  <tableColumns count="6">
    <tableColumn id="1" name="Nome" dataDxfId="5"/>
    <tableColumn id="2" name="Título" dataDxfId="4"/>
    <tableColumn id="3" name="Ano" dataDxfId="3"/>
    <tableColumn id="4" name="Google Scholar Citations" dataDxfId="2"/>
    <tableColumn id="5" name="Snowballing Citations" dataDxfId="1"/>
    <tableColumn id="6" name="Total" dataDxfId="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cholar.google.com.br/scholar?q=Ferramenta+Open-Source+para+Apoio+ao+Uso+do+Scrum+por+Equipes+Distribu%C3%ADdas&amp;btnG=&amp;hl=es&amp;as_sdt=0%2C5&amp;as_vis=1" TargetMode="External"/><Relationship Id="rId21" Type="http://schemas.openxmlformats.org/officeDocument/2006/relationships/hyperlink" Target="https://scholar.google.com.br/scholar?q=Visualizando+a+Evolu%C3%A7%C3%A3o+de+Software+no+Desenvolvimento+Distribu%C3%ADdo&amp;btnG=&amp;hl=es&amp;as_sdt=0%2C5&amp;as_vis=1" TargetMode="External"/><Relationship Id="rId34" Type="http://schemas.openxmlformats.org/officeDocument/2006/relationships/hyperlink" Target="https://scholar.google.com.br/scholar?q=M3DS%3A+um+modelo+de+din%C3%A2mica+de+desenvolvimento+distribu%C3%ADdo+de+software&amp;btnG=&amp;hl=es&amp;as_sdt=0%2C5&amp;as_vis=1" TargetMode="External"/><Relationship Id="rId42" Type="http://schemas.openxmlformats.org/officeDocument/2006/relationships/hyperlink" Target="https://scholar.google.com.br/scholar?q=Classificando+organiza%C3%A7%C3%B5es+de+Desenvolvimento+Distribu%C3%ADdo+de+Software+no+modelo+de+capacidade+WAVE&amp;btnG=&amp;hl=es&amp;as_sdt=0%2C5&amp;as_vis=1" TargetMode="External"/><Relationship Id="rId47" Type="http://schemas.openxmlformats.org/officeDocument/2006/relationships/hyperlink" Target="https://scholar.google.com.br/scholar?q=A+Utiliza%C3%A7%C3%A3o+de+Pr%C3%A1ticas+Scrum+no+Desenvolvimento+de+Software+com+Equipes+Grandes+e+Distribu%C3%ADdas%3A+um+Relato+de+Experi%C3%AAncia&amp;btnG=&amp;hl=es&amp;as_sdt=0%2C5&amp;as_vis=1" TargetMode="External"/><Relationship Id="rId50" Type="http://schemas.openxmlformats.org/officeDocument/2006/relationships/hyperlink" Target="http://www.lbd.dcc.ufmg.br/bdbcomp/servlet/Trabalho?id=13714" TargetMode="External"/><Relationship Id="rId55" Type="http://schemas.openxmlformats.org/officeDocument/2006/relationships/hyperlink" Target="https://scholar.google.com.br/scholar?q=Knowledge+and+Contextual+Information+Management+in+Global+Software+Development%3A+Challenges+and+Perspectives&amp;btnG=&amp;hl=es&amp;as_sdt=0%2C5&amp;as_vis=1" TargetMode="External"/><Relationship Id="rId63" Type="http://schemas.openxmlformats.org/officeDocument/2006/relationships/hyperlink" Target="https://scholar.google.com.br/scholar?hl=pt-BR&amp;q=%22A+UTILIZA%C3%87%C3%83O+DA+PROGRAMA%C3%87%C3%83O+EM+PAR+DISTRIBU%C3%8DDA+NO+ENSINO+DE+PROGRAMA%C3%87%C3%83O&amp;btnG=&amp;lr=" TargetMode="External"/><Relationship Id="rId68" Type="http://schemas.openxmlformats.org/officeDocument/2006/relationships/hyperlink" Target="https://scholar.google.com.br/scholar?q=DESENVOLVIMENTO+DISTRIBU%C3%8DDO+DE+SOFTWARE+COM+SCRUM&amp;btnG=&amp;hl=pt-BR&amp;as_sdt=0%2C5" TargetMode="External"/><Relationship Id="rId76" Type="http://schemas.openxmlformats.org/officeDocument/2006/relationships/hyperlink" Target="https://scholar.google.com.br/scholar?q=Ecosystem+Business+Models+and+Architectures+WDES+McGregor+Silva+Amorim&amp;btnG=&amp;hl=es&amp;as_sdt=0%2C5&amp;as_ylo=2014" TargetMode="External"/><Relationship Id="rId84" Type="http://schemas.openxmlformats.org/officeDocument/2006/relationships/hyperlink" Target="https://scholar.google.com.br/scholar?q=%22+Software+Architecture+Challenges+in+Distributed+Development+Settings%3A+An+Experience+Report%22&amp;btnG=&amp;hl=pt-BR&amp;as_sdt=0%2C5" TargetMode="External"/><Relationship Id="rId89" Type="http://schemas.openxmlformats.org/officeDocument/2006/relationships/hyperlink" Target="https://scholar.google.com.br/scholar?q=%22+An+Analysis+of+Dynamic+Strategies+during+the+Lifecycle+of+Software+Ecosystems%3A+The+DS-SECO+Model%22&amp;btnG=&amp;hl=pt-BR&amp;as_sdt=0%2C5" TargetMode="External"/><Relationship Id="rId97" Type="http://schemas.openxmlformats.org/officeDocument/2006/relationships/hyperlink" Target="https://scholar.google.com.br/scholar?q=+Uma+Base+de+Casos%2C+Problemas+e+Solu%C3%A7%C3%B5es+para+Equipes+de+Desenvolvimento+Distribu%C3%ADdo+de+Software&amp;btnG=&amp;hl=pt-BR&amp;as_sdt=0%2C5" TargetMode="External"/><Relationship Id="rId7" Type="http://schemas.openxmlformats.org/officeDocument/2006/relationships/hyperlink" Target="https://scholar.google.com.br/scholar?cluster=14421275492800527344&amp;hl=es&amp;as_sdt=0,5&amp;as_ylo=2007&amp;as_vis=1" TargetMode="External"/><Relationship Id="rId71" Type="http://schemas.openxmlformats.org/officeDocument/2006/relationships/hyperlink" Target="https://scholar.google.com.br/scholar?q=ELEMENTOS+QUE+IMPACTAM+O+PLANEJAMENTO+DE+TESTES+EM+AMBIENTES+DE+DESENVOLVIMENTO+DISTRIBU%C3%8DDO+NO+CONTEXTO+DE+ECOSSISTEMAS+DE+SOFTWARE&amp;btnG=&amp;hl=pt-BR&amp;as_sdt=0%2C5" TargetMode="External"/><Relationship Id="rId92" Type="http://schemas.openxmlformats.org/officeDocument/2006/relationships/hyperlink" Target="https://scholar.google.com.br/scholar?q=+Observing+the+health+of+the+ecosystem+supporting+the+emerging+connected+vehicle+system+of+systems&amp;btnG=&amp;hl=pt-BR&amp;as_sdt=0%2C5" TargetMode="External"/><Relationship Id="rId2" Type="http://schemas.openxmlformats.org/officeDocument/2006/relationships/hyperlink" Target="https://scholar.google.com.br/scholar?q=Um+Ambiente+de+Desenvolvimento+Distribu%C3%ADdo+de+Software-DiSEN&amp;btnG=&amp;hl=es&amp;as_sdt=0%2C5&amp;as_vis=1" TargetMode="External"/><Relationship Id="rId16" Type="http://schemas.openxmlformats.org/officeDocument/2006/relationships/hyperlink" Target="https://scholar.google.com.br/scholar?cluster=3092331623885140093&amp;hl=es&amp;as_sdt=0,5&amp;as_vis=1" TargetMode="External"/><Relationship Id="rId29" Type="http://schemas.openxmlformats.org/officeDocument/2006/relationships/hyperlink" Target="https://scholar.google.com.br/scholar?q=DiSEN-Updater%3A+Um+Mecanismo+de+Atualiza%C3%A7%C3%A3o+Din%C3%A2mica+de+Ferramentas+para+um+Ambiente+de+Desenvolvimento+Distribu%C3%ADdo+de+Software&amp;btnG=&amp;hl=es&amp;as_sdt=0%2C5&amp;as_vis=1" TargetMode="External"/><Relationship Id="rId11" Type="http://schemas.openxmlformats.org/officeDocument/2006/relationships/hyperlink" Target="https://scholar.google.com.br/scholar?q=Um+Modelo+para+o+C%C3%A1lculo+da+Dist%C3%A2ncia+Percebida+Relativa+em+Equipes+Distribu%C3%ADdas+de+Desenvolvimento+de+Software&amp;btnG=&amp;hl=es&amp;as_sdt=0%2C5&amp;as_ylo=2007&amp;as_yhi=2007&amp;as_vis=1" TargetMode="External"/><Relationship Id="rId24" Type="http://schemas.openxmlformats.org/officeDocument/2006/relationships/hyperlink" Target="https://scholar.google.com.br/scholar?q=Collaborative+Software+Development+Process+for+Geographically+Distributed+Teams&amp;btnG=&amp;hl=es&amp;as_sdt=0%2C5&amp;as_vis=1" TargetMode="External"/><Relationship Id="rId32" Type="http://schemas.openxmlformats.org/officeDocument/2006/relationships/hyperlink" Target="https://scholar.google.com.br/scholar?q=Uma+Arquitetura+para+o+Gerenciamento+de+Artefatos+de+Testes+Desenvolvidos+por+Equipes+Distribu%C3%ADdas&amp;btnG=&amp;hl=es&amp;as_sdt=0%2C5&amp;as_vis=1" TargetMode="External"/><Relationship Id="rId37" Type="http://schemas.openxmlformats.org/officeDocument/2006/relationships/hyperlink" Target="https://scholar.google.com.br/scholar?q=OntoDiSEN%3A+uma+ontologia+para+apoiar+o+desenvolvimento+distribu&amp;btnG=&amp;hl=es&amp;as_sdt=0%2C5&amp;as_vis=1" TargetMode="External"/><Relationship Id="rId40" Type="http://schemas.openxmlformats.org/officeDocument/2006/relationships/hyperlink" Target="http://www.lbd.dcc.ufmg.br/bdbcomp/servlet/Trabalho?id=13823" TargetMode="External"/><Relationship Id="rId45" Type="http://schemas.openxmlformats.org/officeDocument/2006/relationships/hyperlink" Target="https://scholar.google.com.br/scholar?q=Um+Framework+de+Recomenda%C3%A7%C3%A3o+para+Aloca%C3%A7%C3%A3o+de+Equipes+de+Desenvolvimento+em+Projetos+Distribu%C3%ADdos+de+Linhas+de+Produto+de+Software&amp;btnG=&amp;hl=es&amp;as_sdt=0%2C5&amp;as_vis=1" TargetMode="External"/><Relationship Id="rId53" Type="http://schemas.openxmlformats.org/officeDocument/2006/relationships/hyperlink" Target="https://scholar.google.com.br/scholar?q=Uma+Abordagem+Baseada+em+L%C3%B3gica+Nebulosa+para+Sele%C3%A7%C3%A3o+de+Equipes+Distribu%C3%ADdas+Tecnicamente+Qualificadas&amp;btnG=&amp;hl=es&amp;as_sdt=0%2C5&amp;as_vis=1" TargetMode="External"/><Relationship Id="rId58" Type="http://schemas.openxmlformats.org/officeDocument/2006/relationships/hyperlink" Target="https://scholar.google.com.br/scholar?q=ReuseECOS%3A+An+Approach+to+Support+Global+Software+Development+through+Software+Ecosystems&amp;btnG=&amp;hl=es&amp;as_sdt=0%2C5&amp;as_vis=1" TargetMode="External"/><Relationship Id="rId66" Type="http://schemas.openxmlformats.org/officeDocument/2006/relationships/hyperlink" Target="https://scholar.google.com.br/scholar?q=DESENVOLVENDO+UM+MODELO+DE+MATURIDADE+PARA+COMUNICA%C3%87%C3%83O+EM+DESENVOLVIMENTO+DISTRIBU%C3%8DDO+DE+SOFTWARE&amp;btnG=&amp;hl=pt-BR&amp;as_sdt=0%2C5" TargetMode="External"/><Relationship Id="rId74" Type="http://schemas.openxmlformats.org/officeDocument/2006/relationships/hyperlink" Target="https://scholar.google.com.br/scholar?hl=es&amp;as_sdt=0,5&amp;q=Towards+the+Dynamic+Evolution+of+Context-based+Systems-of+Systems" TargetMode="External"/><Relationship Id="rId79" Type="http://schemas.openxmlformats.org/officeDocument/2006/relationships/hyperlink" Target="https://scholar.google.com.br/scholar?q=On+the+Identification+of+Factors+that+Promote+High-Performance+Projects+in+Distributed+Development+WDES&amp;btnG=&amp;hl=es&amp;as_sdt=0%2C5&amp;as_ylo=2014" TargetMode="External"/><Relationship Id="rId87" Type="http://schemas.openxmlformats.org/officeDocument/2006/relationships/hyperlink" Target="https://scholar.google.com.br/scholar?q=%22+Uma+Arquitetura+para+Ecossistema+de+Software+Cient%C3%ADfico%22&amp;btnG=&amp;hl=pt-BR&amp;as_sdt=0%2C5" TargetMode="External"/><Relationship Id="rId5" Type="http://schemas.openxmlformats.org/officeDocument/2006/relationships/hyperlink" Target="http://www.lbd.dcc.ufmg.br/bdbcomp/servlet/Trabalho?id=6897" TargetMode="External"/><Relationship Id="rId61" Type="http://schemas.openxmlformats.org/officeDocument/2006/relationships/hyperlink" Target="https://scholar.google.com.br/scholar?hl=pt-BR&amp;q=COLLABCODE+-+FERRAMENTA+PARA+APOIO+AO+DESENVOLVIMENTO+DISTRIBU%C3%8DDO+DE+SOFTWARE&amp;btnG=&amp;lr=" TargetMode="External"/><Relationship Id="rId82" Type="http://schemas.openxmlformats.org/officeDocument/2006/relationships/hyperlink" Target="https://scholar.google.com.br/scholar?q=%22An%C3%A1lise+Hist%C3%B3rica+do+WDDS%2FWDES%22&amp;btnG=&amp;hl=pt-BR&amp;as_sdt=0%2C5" TargetMode="External"/><Relationship Id="rId90" Type="http://schemas.openxmlformats.org/officeDocument/2006/relationships/hyperlink" Target="https://scholar.google.com.br/scholar?q=%22+A+Systematic+Mapping+on+the+Relations+between+Systems-of-Systems+and+Software+Ecosystems%22&amp;btnG=&amp;hl=pt-BR&amp;as_sdt=0%2C5" TargetMode="External"/><Relationship Id="rId95" Type="http://schemas.openxmlformats.org/officeDocument/2006/relationships/hyperlink" Target="https://scholar.google.com.br/scholar?q=++A+Conceptual+Map+of+Model-Driven+Development+for+Systems-of-Systems&amp;btnG=&amp;hl=pt-BR&amp;as_sdt=0%2C5" TargetMode="External"/><Relationship Id="rId19" Type="http://schemas.openxmlformats.org/officeDocument/2006/relationships/hyperlink" Target="http://www.lbd.dcc.ufmg.br/bdbcomp/servlet/Trabalho?id=7593" TargetMode="External"/><Relationship Id="rId14" Type="http://schemas.openxmlformats.org/officeDocument/2006/relationships/hyperlink" Target="https://scholar.google.com.br/scholar?q=Uma+Proposta+de+Processo+de+Manuten%C3%A7%C3%A3o+Distribu%C3%ADda&amp;btnG=&amp;hl=es&amp;as_sdt=0%2C5&amp;as_vis=1" TargetMode="External"/><Relationship Id="rId22" Type="http://schemas.openxmlformats.org/officeDocument/2006/relationships/hyperlink" Target="https://scholar.google.com.br/scholar?q=Gest%C3%A3o+Quantitativa+de+Pessoas+em+DDS%3A+primeira+aplica%C3%A7%C3%A3o+de+um+modelo+para+o+c%C3%A1lculo+da+dist%C3%A2ncia+percebida+relativa+em+equipes+distribu%C3%ADdas+de+desenvolvimento+de+software&amp;btnG=&amp;hl=es&amp;as_sdt=0%2C5&amp;as_vis=1" TargetMode="External"/><Relationship Id="rId27" Type="http://schemas.openxmlformats.org/officeDocument/2006/relationships/hyperlink" Target="https://scholar.google.com.br/scholar?q=Aplica%C3%A7%C3%A3o+de+Apoio+Computacional+Baseado+em+Processos+de+Neg%C3%B3cio+e+Servi%C3%A7os+Web+para+o+Desenvolvimento+Distribu%C3%ADdo+de+Software&amp;btnG=&amp;hl=es&amp;as_sdt=0%2C5&amp;as_vis=1" TargetMode="External"/><Relationship Id="rId30" Type="http://schemas.openxmlformats.org/officeDocument/2006/relationships/hyperlink" Target="https://scholar.google.com.br/scholar?q=Desenvolvimento+Distribu%C3%ADdo+de+Software+com+Captive+Centers&amp;btnG=&amp;hl=es&amp;as_sdt=0%2C5&amp;as_vis=1" TargetMode="External"/><Relationship Id="rId35" Type="http://schemas.openxmlformats.org/officeDocument/2006/relationships/hyperlink" Target="https://scholar.google.com.br/scholar?q=Os+princ%C3%ADpios+%C3%A1geis+na+din%C3%A2mica+do+desenvolvimento+distribu%C3%ADdo+de+software&amp;btnG=&amp;hl=es&amp;as_sdt=0%2C5&amp;as_vis=1" TargetMode="External"/><Relationship Id="rId43" Type="http://schemas.openxmlformats.org/officeDocument/2006/relationships/hyperlink" Target="https://scholar.google.com.br/scholar?q=Desafios+nas+Fases+do+ciclo+de+vida+de+Projetos+Distribu%C3%ADdos&amp;btnG=&amp;hl=es&amp;as_sdt=0%2C5&amp;as_vis=1" TargetMode="External"/><Relationship Id="rId48" Type="http://schemas.openxmlformats.org/officeDocument/2006/relationships/hyperlink" Target="https://scholar.google.com.br/scholar?q=Aloca%C3%A7%C3%A3o+de+Tarefas+em+Projetos+de+Desenvolvimento+Distribu%C3%ADdo+de+Software%3A+An%C3%A1lise+das+Solu%C3%A7%C3%B5es+Existentes&amp;btnG=&amp;hl=es&amp;as_sdt=0%2C5&amp;as_vis=1" TargetMode="External"/><Relationship Id="rId56" Type="http://schemas.openxmlformats.org/officeDocument/2006/relationships/hyperlink" Target="https://scholar.google.com.br/scholar?q=Motivational+Factors+for+Distributed+Software+Development+Teams&amp;btnG=&amp;hl=es&amp;as_sdt=0%2C5&amp;as_vis=1" TargetMode="External"/><Relationship Id="rId64" Type="http://schemas.openxmlformats.org/officeDocument/2006/relationships/hyperlink" Target="https://scholar.google.com.br/scholar?q=REFLEX%C3%95ES+SOBRE+COMUNICA%C3%87%C3%83O+NO+DESENVOLVIMENTO+DISTRIBU%C3%8DDO+NO+CONTEXTO+DE+ECOSSISTEMAS+DE+SOFTWARE&amp;btnG=&amp;hl=pt-BR&amp;as_sdt=0%2C5" TargetMode="External"/><Relationship Id="rId69" Type="http://schemas.openxmlformats.org/officeDocument/2006/relationships/hyperlink" Target="https://scholar.google.com.br/scholar?q=PROPOSTA+DE+CEN%C3%81RIOS+GEN%C3%89RICOS+PARA+DEFINI%C3%87%C3%83O+DA+COMUNICA%C3%87%C3%83O+EM+S%C3%8DTIOS+DE+DESENVOLVIMENTO+DISTRIBU%C3%8DDO+DE+SOFTWARE&amp;btnG=&amp;hl=pt-BR&amp;as_sdt=0%2C5" TargetMode="External"/><Relationship Id="rId77" Type="http://schemas.openxmlformats.org/officeDocument/2006/relationships/hyperlink" Target="https://scholar.google.com.br/scholar?q=Qualidade+em+Ecossistemas+de+Software%3A+Desafios+e+Oportunidades+de+Pesquisa&amp;btnG=&amp;hl=es&amp;as_sdt=0%2C5&amp;as_ylo=2014" TargetMode="External"/><Relationship Id="rId100" Type="http://schemas.openxmlformats.org/officeDocument/2006/relationships/printerSettings" Target="../printerSettings/printerSettings1.bin"/><Relationship Id="rId8" Type="http://schemas.openxmlformats.org/officeDocument/2006/relationships/hyperlink" Target="https://scholar.google.com.br/scholar?cluster=8738334288929569669&amp;hl=es&amp;as_sdt=0,5&amp;as_ylo=2007&amp;as_yhi=2007&amp;as_vis=1" TargetMode="External"/><Relationship Id="rId51" Type="http://schemas.openxmlformats.org/officeDocument/2006/relationships/hyperlink" Target="https://scholar.google.com.br/scholar?q=Follow-the-Sun%3A+Um+Processo+para+Minimizar+as+Dificuldades+de+Projetos+que+Adotam+esta+Estrat%C3%A9gia&amp;btnG=&amp;hl=es&amp;as_sdt=0%2C5&amp;as_vis=1" TargetMode="External"/><Relationship Id="rId72" Type="http://schemas.openxmlformats.org/officeDocument/2006/relationships/hyperlink" Target="https://scholar.google.com.br/scholar?q=USO+DE+MAPAS+MENTAIS+COMO+FERRAMENTA+AUXILIAR+AO+DESENVOLVIMENTO+DISTRIBU%C3%8DDO+DE+SOFTWAR&amp;btnG=&amp;hl=pt-BR&amp;as_sdt=0%2C5" TargetMode="External"/><Relationship Id="rId80" Type="http://schemas.openxmlformats.org/officeDocument/2006/relationships/hyperlink" Target="https://scholar.google.com.br/scholar?q=SECOView%3A+Uma+Abordagem+Baseada+em+Vis%C3%B5es+para+Apoiar+a+Governan%C3%A7a+de+Ecossistemas+de+Software&amp;btnG=&amp;hl=es&amp;as_sdt=0%2C5&amp;as_ylo=2014" TargetMode="External"/><Relationship Id="rId85" Type="http://schemas.openxmlformats.org/officeDocument/2006/relationships/hyperlink" Target="https://scholar.google.com.br/scholar?q=%22Towards+Architectural+Synthesis+of+Systems-of-Systems%22&amp;btnG=&amp;hl=pt-BR&amp;as_sdt=0%2C5" TargetMode="External"/><Relationship Id="rId93" Type="http://schemas.openxmlformats.org/officeDocument/2006/relationships/hyperlink" Target="https://scholar.google.com.br/scholar?q=+Designing+a+Software+Architecture+for+a+Railway+Safety+Platform&amp;btnG=&amp;hl=pt-BR&amp;as_sdt=0%2C5" TargetMode="External"/><Relationship Id="rId98" Type="http://schemas.openxmlformats.org/officeDocument/2006/relationships/hyperlink" Target="https://scholar.google.com.br/scholar?q=+Research+Opportunities+for+Mobile+Software+Ecosystems&amp;btnG=&amp;hl=pt-BR&amp;as_sdt=0%2C5" TargetMode="External"/><Relationship Id="rId3" Type="http://schemas.openxmlformats.org/officeDocument/2006/relationships/hyperlink" Target="https://scholar.google.com.br/scholar?q=%C2%A0Ado%C3%A7%C3%A3o+de+SCRUM+em+uma+F%C3%A1brica+de+Desenvolvimento+Distribu%C3%ADdo+de+Software&amp;btnG=&amp;hl=es&amp;as_sdt=0%2C5&amp;as_vis=1" TargetMode="External"/><Relationship Id="rId12" Type="http://schemas.openxmlformats.org/officeDocument/2006/relationships/hyperlink" Target="https://scholar.google.com.br/scholar?q=Towards+Distributed+Development:+MORPHOS+Process&amp;hl=es&amp;as_sdt=0,5&amp;as_vis=1" TargetMode="External"/><Relationship Id="rId17" Type="http://schemas.openxmlformats.org/officeDocument/2006/relationships/hyperlink" Target="https://scholar.google.com.br/scholar?q=Um+Conjunto+de+Solu%C3%A7%C3%B5es+para+Apoiar+o+Desenvolvimento+Distribu%C3%ADdo+de+Software&amp;btnG=&amp;hl=es&amp;as_sdt=0%2C5&amp;as_vis=1" TargetMode="External"/><Relationship Id="rId25" Type="http://schemas.openxmlformats.org/officeDocument/2006/relationships/hyperlink" Target="https://scholar.google.com.br/scholar?q=Estimativa+de+Esfor%C3%A7o+em+Projetos+de+DDS&amp;btnG=&amp;hl=es&amp;as_sdt=0%2C5&amp;as_vis=1" TargetMode="External"/><Relationship Id="rId33" Type="http://schemas.openxmlformats.org/officeDocument/2006/relationships/hyperlink" Target="https://scholar.google.com.br/scholar?q=An+Approach+for+Collaborative+and+Distributed+Software+Process+Improvement+%28SPI%29&amp;btnG=&amp;hl=es&amp;as_sdt=0%2C5&amp;as_vis=1" TargetMode="External"/><Relationship Id="rId38" Type="http://schemas.openxmlformats.org/officeDocument/2006/relationships/hyperlink" Target="https://scholar.google.com.br/scholar?q=Alocando+Equipes+Distribu%C3%ADdas+com+base+em+Aspectos+N%C3%A3o-T%C3%A9cnicos&amp;btnG=&amp;hl=es&amp;as_sdt=0%2C5&amp;as_vis=1" TargetMode="External"/><Relationship Id="rId46" Type="http://schemas.openxmlformats.org/officeDocument/2006/relationships/hyperlink" Target="https://scholar.google.com.br/scholar?q=Uso+de+Ontologia+no+Estabelecimento+de+Contratos+Eletr%C3%B4nicos+para+Processos+Interorganizacionais+em+DDS&amp;btnG=&amp;hl=es&amp;as_sdt=0%2C5&amp;as_vis=1" TargetMode="External"/><Relationship Id="rId59" Type="http://schemas.openxmlformats.org/officeDocument/2006/relationships/hyperlink" Target="https://scholar.google.com.br/scholar?q=Simulated+co-location+in+distributed+software+development%3A+An+experience+report&amp;btnG=&amp;hl=es&amp;as_sdt=0%2C5&amp;as_vis=1" TargetMode="External"/><Relationship Id="rId67" Type="http://schemas.openxmlformats.org/officeDocument/2006/relationships/hyperlink" Target="https://scholar.google.com.br/scholar?q=DESAFIOS+NO+GERENCIAMENTO+DE+CONFLITOS+EM+PROJETOS+DE+DESENVOLVIMENTO+DISTRIBU%C3%8DDO+DE+SOFTWARE&amp;btnG=&amp;hl=pt-BR&amp;as_sdt=0%2C5" TargetMode="External"/><Relationship Id="rId20" Type="http://schemas.openxmlformats.org/officeDocument/2006/relationships/hyperlink" Target="https://scholar.google.com.br/scholar?q=Um+Relato+de+Experi%C3%AAncia+com+uma+Infra-Estrutura+para+Desenvolvimento+Distribu%C3%ADdo+Baseado+em+Componentes&amp;hl=es&amp;as_sdt=0,5&amp;as_vis=1" TargetMode="External"/><Relationship Id="rId41" Type="http://schemas.openxmlformats.org/officeDocument/2006/relationships/hyperlink" Target="https://scholar.google.com.br/scholar?q=Recomendacoes+para+a+Gestao+do+Desenvolvimento+de+Software+com+Equipes+Distribu&amp;btnG=&amp;hl=es&amp;as_sdt=0%2C5&amp;as_vis=1" TargetMode="External"/><Relationship Id="rId54" Type="http://schemas.openxmlformats.org/officeDocument/2006/relationships/hyperlink" Target="https://scholar.google.com.br/scholar?q=Ontologies+supporting+the+Distributed+Software+Development%3A+a+Systematic+Literature+Review&amp;btnG=&amp;hl=es&amp;as_sdt=0%2C5&amp;as_vis=1" TargetMode="External"/><Relationship Id="rId62" Type="http://schemas.openxmlformats.org/officeDocument/2006/relationships/hyperlink" Target="https://scholar.google.com.br/scholar?cluster=11600842057267550178&amp;hl=pt-BR&amp;as_sdt=0,5" TargetMode="External"/><Relationship Id="rId70" Type="http://schemas.openxmlformats.org/officeDocument/2006/relationships/hyperlink" Target="https://scholar.google.com.br/scholar?q=DESENVOLVIMENTO+DE+HANDOFFS+EM+PROJETOS+DE+SOFTWARE+FOLLOW-THE-SUN%3A+UM+RELATO+DE+EXPERI%C3%8ANCIA&amp;btnG=&amp;hl=pt-BR&amp;as_sdt=0%2C5" TargetMode="External"/><Relationship Id="rId75" Type="http://schemas.openxmlformats.org/officeDocument/2006/relationships/hyperlink" Target="https://scholar.google.com.br/scholar?q=Um+Framework+para+Gest%C3%A3o+de+Riscos+em+Projetos+de+Desenvolvimento+Distribu%C3%ADdo+de+Software&amp;btnG=&amp;hl=es&amp;as_sdt=0%2C5&amp;as_ylo=2014" TargetMode="External"/><Relationship Id="rId83" Type="http://schemas.openxmlformats.org/officeDocument/2006/relationships/hyperlink" Target="https://scholar.google.com.br/scholar?q=%22+Um+Estudo+Explorat%C3%B3rio+Sobre+Contribui%C3%A7%C3%B5es+Casuais+em+Projetos+de+Software+Livre%3A+Caso+do+Projeto+LibreOffice%22&amp;btnG=&amp;hl=pt-BR&amp;as_sdt=0%2C5" TargetMode="External"/><Relationship Id="rId88" Type="http://schemas.openxmlformats.org/officeDocument/2006/relationships/hyperlink" Target="https://scholar.google.com.br/scholar?q=%22+Ecossistema+de+Software+no+Contexto+do+Poder+Judici%C3%A1rio+-+Apontamentos+Sobre+o+ECOS+Projudi+no+Estado+do+Paran%C3%A1%22&amp;btnG=&amp;hl=pt-BR&amp;as_sdt=0%2C5" TargetMode="External"/><Relationship Id="rId91" Type="http://schemas.openxmlformats.org/officeDocument/2006/relationships/hyperlink" Target="https://scholar.google.com.br/scholar?q=+Oportunizando+a+Aprendizagem+e+Ger%C3%AAncia+do+Conhecimento+em+Ecossistemas+de+Software&amp;btnG=&amp;hl=pt-BR&amp;as_sdt=0%2C5" TargetMode="External"/><Relationship Id="rId96" Type="http://schemas.openxmlformats.org/officeDocument/2006/relationships/hyperlink" Target="https://scholar.google.com.br/scholar?q=+A+Preliminary+Study+of+the+Adherence+to+the+Communication+Maturity+Model+in+Four+Software+Organizations&amp;btnG=&amp;hl=pt-BR&amp;as_sdt=0%2C5" TargetMode="External"/><Relationship Id="rId1" Type="http://schemas.openxmlformats.org/officeDocument/2006/relationships/hyperlink" Target="https://scholar.google.com.br/scholar?q=Theseus:+Tool+Support+for+Managers+of+Distributed+Software+Development+Projects&amp;hl=es&amp;as_sdt=0&amp;as_vis=1&amp;oi=scholart&amp;sa=X&amp;ved=0CDgQgQMwAGoVChMI2__AoNDqxgIVyh0-Ch2zCQee" TargetMode="External"/><Relationship Id="rId6" Type="http://schemas.openxmlformats.org/officeDocument/2006/relationships/hyperlink" Target="https://scholar.google.com.br/scholar?cluster=16309066698293021819&amp;hl=es&amp;as_sdt=0,5&amp;as_ylo=2007&amp;as_vis=1" TargetMode="External"/><Relationship Id="rId15" Type="http://schemas.openxmlformats.org/officeDocument/2006/relationships/hyperlink" Target="https://scholar.google.com.br/scholar?q=DiSEN-SCV%3A+Uma+estrat%C3%A9gia+para+replica%C3%A7%C3%A3o+de+reposit%C3%B3rios+e+aloca%C3%A7%C3%A3o+de+artefatos&amp;btnG=&amp;hl=es&amp;as_sdt=0%2C5&amp;as_vis=1" TargetMode="External"/><Relationship Id="rId23" Type="http://schemas.openxmlformats.org/officeDocument/2006/relationships/hyperlink" Target="https://scholar.google.com.br/scholar?q=Uma+Experi%C3%AAncia+na+Adapta%C3%A7%C3%A3o+do+RUP+em+Pequenas+Equipes+de+Desenvolvimento+Distribu%C3%ADdo&amp;btnG=&amp;hl=es&amp;as_sdt=0%2C5&amp;as_vis=1" TargetMode="External"/><Relationship Id="rId28" Type="http://schemas.openxmlformats.org/officeDocument/2006/relationships/hyperlink" Target="https://scholar.google.com.br/scholar?q=Proposta+de+Boas+Pr%C3%A1ticas+no+Processo+de+Comunica%C3%A7%C3%A3o+em+Projetos+Distribu%C3%ADdos&amp;btnG=&amp;hl=es&amp;as_sdt=0%2C5&amp;as_vis=1" TargetMode="External"/><Relationship Id="rId36" Type="http://schemas.openxmlformats.org/officeDocument/2006/relationships/hyperlink" Target="https://scholar.google.com.br/scholar?q=Dificuldades%2C+Fatores+e+Ferramentas+no+Gerenciamento+da+Comunica%C3%A7%C3%A3o+em+projetos+de+Desenvolvimento+Distribu%C3%ADdo+de+Software%3A+uma+Revis%C3%A3o+Sistem%C3%A1tica+da+Literatura&amp;btnG=&amp;hl=es&amp;as_sdt=0%2C5&amp;as_vis=1" TargetMode="External"/><Relationship Id="rId49" Type="http://schemas.openxmlformats.org/officeDocument/2006/relationships/hyperlink" Target="https://scholar.google.com.br/scholar?q=Uso+de+Atributos+N%C3%A3o-t%C3%A9cnicos+na+Aloca%C3%A7%C3%A3o+de+Equipes+em+Projetos+de+Desenvolvimento+Distribu%C3%ADdo+de+Software&amp;btnG=&amp;hl=es&amp;as_sdt=0%2C5&amp;as_vis=1" TargetMode="External"/><Relationship Id="rId57" Type="http://schemas.openxmlformats.org/officeDocument/2006/relationships/hyperlink" Target="https://scholar.google.com.br/scholar?q=Elicitation+of+Communication+Inherent+Risks+in+Distributed+Software+Development&amp;btnG=&amp;hl=es&amp;as_sdt=0%2C5&amp;as_vis=1" TargetMode="External"/><Relationship Id="rId10" Type="http://schemas.openxmlformats.org/officeDocument/2006/relationships/hyperlink" Target="https://scholar.google.com.br/scholar?q=Como+Evoluem+as+Organiza%C3%A7%C3%B5es+de+DDS+em+Ambientes+de+Internal+Offshoring%3F+Um+Estudo+Qualitativo+Preliminar&amp;btnG=&amp;hl=es&amp;as_sdt=0%2C5&amp;as_ylo=2007&amp;as_yhi=2007&amp;as_vis=1" TargetMode="External"/><Relationship Id="rId31" Type="http://schemas.openxmlformats.org/officeDocument/2006/relationships/hyperlink" Target="https://scholar.google.com.br/scholar?q=Padr%C3%B5es+para+Percep%C3%A7%C3%A3o+da+Colabora%C3%A7%C3%A3o+em+Redes+Sociais+de+Desenvolvimento+de+Software&amp;btnG=&amp;hl=es&amp;as_sdt=0%2C5&amp;as_vis=1" TargetMode="External"/><Relationship Id="rId44" Type="http://schemas.openxmlformats.org/officeDocument/2006/relationships/hyperlink" Target="https://scholar.google.com.br/scholar?q=Modelos+de+Colabora%C3%A7%C3%A3o+no+Desenvolvimento+Distribu%C3%ADdo+de+Software%3A+uma+Revis%C3%A3o+Sistem%C3%A1tica+da+Literatura&amp;btnG=&amp;hl=es&amp;as_sdt=0%2C5&amp;as_vis=1" TargetMode="External"/><Relationship Id="rId52" Type="http://schemas.openxmlformats.org/officeDocument/2006/relationships/hyperlink" Target="https://scholar.google.com.br/scholar?q=Desmistificando+o+Desenvolvimento+de+Software+Follow-the-Sun%3A+Caracteriza%C3%A7%C3%A3o+e+Li%C3%A7%C3%B5es+Aprendidas&amp;btnG=&amp;hl=es&amp;as_sdt=0%2C5&amp;as_vis=1" TargetMode="External"/><Relationship Id="rId60" Type="http://schemas.openxmlformats.org/officeDocument/2006/relationships/hyperlink" Target="https://scholar.google.com.br/scholar?cluster=1249745908985864441&amp;hl=pt-BR&amp;as_sdt=0,5" TargetMode="External"/><Relationship Id="rId65" Type="http://schemas.openxmlformats.org/officeDocument/2006/relationships/hyperlink" Target="https://scholar.google.com.br/scholar?q=FERRAMENTAS+WEB+2.0+COMO+SUPORTE+A+COMUNICA%C3%87%C3%83O+EM+DESENVOLVIMENTO+DISTRIBU%C3%8DDO+DE+SOFTWARE&amp;btnG=&amp;hl=pt-BR&amp;as_sdt=0%2C5" TargetMode="External"/><Relationship Id="rId73" Type="http://schemas.openxmlformats.org/officeDocument/2006/relationships/hyperlink" Target="https://scholar.google.com.br/scholar?q=Towards+the+Evaluation+of+System-of-Systems+Software+Architectures&amp;btnG=&amp;hl=es&amp;as_sdt=0%2C5&amp;as_ylo=2014&amp;as_vis=1" TargetMode="External"/><Relationship Id="rId78" Type="http://schemas.openxmlformats.org/officeDocument/2006/relationships/hyperlink" Target="https://scholar.google.com.br/scholar?q=On+the+Relations+between+Systems-of-Systems+and+Software+Ecosystems&amp;btnG=&amp;hl=es&amp;as_sdt=0%2C5&amp;as_ylo=2014" TargetMode="External"/><Relationship Id="rId81" Type="http://schemas.openxmlformats.org/officeDocument/2006/relationships/hyperlink" Target="http://www.lbd.dcc.ufmg.br/bdbcomp/servlet/Trabalho?id=7583" TargetMode="External"/><Relationship Id="rId86" Type="http://schemas.openxmlformats.org/officeDocument/2006/relationships/hyperlink" Target="https://scholar.google.com.br/scholar?q=%22+A+Biological+Inspiration+to+Support+Emergent+Behavior+in+Systems-of-Systems+Development%22&amp;btnG=&amp;hl=pt-BR&amp;as_sdt=0%2C5" TargetMode="External"/><Relationship Id="rId94" Type="http://schemas.openxmlformats.org/officeDocument/2006/relationships/hyperlink" Target="https://scholar.google.com.br/scholar?q=+A+Summary+of+Challenges+for+%22MDE+as+Service%22&amp;btnG=&amp;hl=pt-BR&amp;as_sdt=0%2C5" TargetMode="External"/><Relationship Id="rId99" Type="http://schemas.openxmlformats.org/officeDocument/2006/relationships/hyperlink" Target="https://scholar.google.com.br/scholar?q=+Investigating+Issues+of+Human-Computer+Interaction+for+Systems-of-Systems&amp;btnG=&amp;hl=pt-BR&amp;as_sdt=0%2C5" TargetMode="External"/><Relationship Id="rId101" Type="http://schemas.openxmlformats.org/officeDocument/2006/relationships/table" Target="../tables/table1.xml"/><Relationship Id="rId4" Type="http://schemas.openxmlformats.org/officeDocument/2006/relationships/hyperlink" Target="https://scholar.google.com.br/scholar?q=Pol%C3%ADticas+de+Controle+de+Concorr%C3%AAncia+no+Desenvolvimento+Distribu%C3%ADdo+de+Software&amp;btnG=&amp;hl=es&amp;as_sdt=0%2C5&amp;as_vis=1" TargetMode="External"/><Relationship Id="rId9" Type="http://schemas.openxmlformats.org/officeDocument/2006/relationships/hyperlink" Target="https://scholar.google.com.br/scholar?cluster=16099281217508739913&amp;hl=es&amp;as_sdt=0,5&amp;as_ylo=2007&amp;as_yhi=2007&amp;as_vis=1" TargetMode="External"/><Relationship Id="rId13" Type="http://schemas.openxmlformats.org/officeDocument/2006/relationships/hyperlink" Target="https://scholar.google.com.br/scholar?cluster=4159901192245290379&amp;hl=es&amp;as_sdt=0,5&amp;as_ylo=2008&amp;as_yhi=2008&amp;as_vis=1" TargetMode="External"/><Relationship Id="rId18" Type="http://schemas.openxmlformats.org/officeDocument/2006/relationships/hyperlink" Target="https://scholar.google.com.br/scholar?q=A+Distributed+Intelligent+Pair-Software+Development+Tool&amp;btnG=&amp;hl=es&amp;as_sdt=0%2C5&amp;as_vis=1" TargetMode="External"/><Relationship Id="rId39" Type="http://schemas.openxmlformats.org/officeDocument/2006/relationships/hyperlink" Target="https://scholar.google.com.br/scholar?q=Desafios+e+Boas+Pr%C3%A1ticas+para+o+Gerenciamento+de+Projetos+no+Desenvolvimento+Distribu%C3%ADdo+de+Software&amp;btnG=&amp;hl=es&amp;as_sdt=0%2C5&amp;as_vis=1"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lbd.dcc.ufmg.br/bdbcomp/servlet/Trabalho?id=7588" TargetMode="External"/><Relationship Id="rId18" Type="http://schemas.openxmlformats.org/officeDocument/2006/relationships/hyperlink" Target="http://www.lbd.dcc.ufmg.br/bdbcomp/servlet/Trabalho?id=7586" TargetMode="External"/><Relationship Id="rId26" Type="http://schemas.openxmlformats.org/officeDocument/2006/relationships/hyperlink" Target="http://www.lbd.dcc.ufmg.br/bdbcomp/servlet/Trabalho?id=7705" TargetMode="External"/><Relationship Id="rId39" Type="http://schemas.openxmlformats.org/officeDocument/2006/relationships/hyperlink" Target="http://www.lbd.dcc.ufmg.br/bdbcomp/servlet/Trabalho?id=13828" TargetMode="External"/><Relationship Id="rId21" Type="http://schemas.openxmlformats.org/officeDocument/2006/relationships/hyperlink" Target="http://www.lbd.dcc.ufmg.br/bdbcomp/servlet/Trabalho?id=7590" TargetMode="External"/><Relationship Id="rId34" Type="http://schemas.openxmlformats.org/officeDocument/2006/relationships/hyperlink" Target="http://www.lbd.dcc.ufmg.br/bdbcomp/servlet/Trabalho?id=7704" TargetMode="External"/><Relationship Id="rId42" Type="http://schemas.openxmlformats.org/officeDocument/2006/relationships/hyperlink" Target="http://www.lbd.dcc.ufmg.br/bdbcomp/servlet/Trabalho?id=13824" TargetMode="External"/><Relationship Id="rId47" Type="http://schemas.openxmlformats.org/officeDocument/2006/relationships/hyperlink" Target="http://www.lbd.dcc.ufmg.br/bdbcomp/servlet/Trabalho?id=13827" TargetMode="External"/><Relationship Id="rId50" Type="http://schemas.openxmlformats.org/officeDocument/2006/relationships/hyperlink" Target="http://www.lbd.dcc.ufmg.br/bdbcomp/servlet/Trabalho?id=13711" TargetMode="External"/><Relationship Id="rId55" Type="http://schemas.openxmlformats.org/officeDocument/2006/relationships/hyperlink" Target="http://www.lbd.dcc.ufmg.br/bdbcomp/servlet/Trabalho?id=13811" TargetMode="External"/><Relationship Id="rId63" Type="http://schemas.openxmlformats.org/officeDocument/2006/relationships/hyperlink" Target="http://cbsoft2013.unb.br/wp-content/uploads/2013/10/WDDS1.pdf" TargetMode="External"/><Relationship Id="rId68" Type="http://schemas.openxmlformats.org/officeDocument/2006/relationships/hyperlink" Target="http://cbsoft2013.unb.br/wp-content/uploads/2013/10/WDDS1.pdf" TargetMode="External"/><Relationship Id="rId76" Type="http://schemas.openxmlformats.org/officeDocument/2006/relationships/hyperlink" Target="http://cbsoft2013.unb.br/wp-content/uploads/2013/10/WDDS1.pdf" TargetMode="External"/><Relationship Id="rId84" Type="http://schemas.openxmlformats.org/officeDocument/2006/relationships/hyperlink" Target="http://www.ic.ufal.br/evento/cbsoft2014/anais/wdes_v1_p.pdf" TargetMode="External"/><Relationship Id="rId7" Type="http://schemas.openxmlformats.org/officeDocument/2006/relationships/hyperlink" Target="http://www.lbd.dcc.ufmg.br/bdbcomp/servlet/Trabalho?id=6891" TargetMode="External"/><Relationship Id="rId71" Type="http://schemas.openxmlformats.org/officeDocument/2006/relationships/hyperlink" Target="http://cbsoft2013.unb.br/wp-content/uploads/2013/10/WDDS1.pdf" TargetMode="External"/><Relationship Id="rId2" Type="http://schemas.openxmlformats.org/officeDocument/2006/relationships/hyperlink" Target="http://www.lbd.dcc.ufmg.br/bdbcomp/servlet/Trabalho?id=6896" TargetMode="External"/><Relationship Id="rId16" Type="http://schemas.openxmlformats.org/officeDocument/2006/relationships/hyperlink" Target="http://www.lbd.dcc.ufmg.br/bdbcomp/servlet/Trabalho?id=7584" TargetMode="External"/><Relationship Id="rId29" Type="http://schemas.openxmlformats.org/officeDocument/2006/relationships/hyperlink" Target="http://www.lbd.dcc.ufmg.br/bdbcomp/servlet/Trabalho?id=7699" TargetMode="External"/><Relationship Id="rId11" Type="http://schemas.openxmlformats.org/officeDocument/2006/relationships/hyperlink" Target="http://www.lbd.dcc.ufmg.br/bdbcomp/servlet/Trabalho?id=6895" TargetMode="External"/><Relationship Id="rId24" Type="http://schemas.openxmlformats.org/officeDocument/2006/relationships/hyperlink" Target="http://www.lbd.dcc.ufmg.br/bdbcomp/servlet/Trabalho?id=7593" TargetMode="External"/><Relationship Id="rId32" Type="http://schemas.openxmlformats.org/officeDocument/2006/relationships/hyperlink" Target="http://www.lbd.dcc.ufmg.br/bdbcomp/servlet/Trabalho?id=7702" TargetMode="External"/><Relationship Id="rId37" Type="http://schemas.openxmlformats.org/officeDocument/2006/relationships/hyperlink" Target="http://www.lbd.dcc.ufmg.br/bdbcomp/servlet/Trabalho?id=13826" TargetMode="External"/><Relationship Id="rId40" Type="http://schemas.openxmlformats.org/officeDocument/2006/relationships/hyperlink" Target="http://www.lbd.dcc.ufmg.br/bdbcomp/servlet/Trabalho?id=13821" TargetMode="External"/><Relationship Id="rId45" Type="http://schemas.openxmlformats.org/officeDocument/2006/relationships/hyperlink" Target="http://www.lbd.dcc.ufmg.br/bdbcomp/servlet/Trabalho?id=13820" TargetMode="External"/><Relationship Id="rId53" Type="http://schemas.openxmlformats.org/officeDocument/2006/relationships/hyperlink" Target="http://www.lbd.dcc.ufmg.br/bdbcomp/servlet/Trabalho?id=13713" TargetMode="External"/><Relationship Id="rId58" Type="http://schemas.openxmlformats.org/officeDocument/2006/relationships/hyperlink" Target="http://www.lbd.dcc.ufmg.br/bdbcomp/servlet/Trabalho?id=13814" TargetMode="External"/><Relationship Id="rId66" Type="http://schemas.openxmlformats.org/officeDocument/2006/relationships/hyperlink" Target="http://cbsoft2013.unb.br/wp-content/uploads/2013/10/WDDS1.pdf" TargetMode="External"/><Relationship Id="rId74" Type="http://schemas.openxmlformats.org/officeDocument/2006/relationships/hyperlink" Target="http://cbsoft2013.unb.br/wp-content/uploads/2013/10/WDDS1.pdf" TargetMode="External"/><Relationship Id="rId79" Type="http://schemas.openxmlformats.org/officeDocument/2006/relationships/hyperlink" Target="http://www.ic.ufal.br/evento/cbsoft2014/anais/wdes_v1_p.pdf" TargetMode="External"/><Relationship Id="rId5" Type="http://schemas.openxmlformats.org/officeDocument/2006/relationships/hyperlink" Target="http://www.lbd.dcc.ufmg.br/bdbcomp/servlet/Trabalho?id=6889" TargetMode="External"/><Relationship Id="rId61" Type="http://schemas.openxmlformats.org/officeDocument/2006/relationships/hyperlink" Target="http://cbsoft2013.unb.br/wp-content/uploads/2013/10/WDDS1.pdf" TargetMode="External"/><Relationship Id="rId82" Type="http://schemas.openxmlformats.org/officeDocument/2006/relationships/hyperlink" Target="http://www.ic.ufal.br/evento/cbsoft2014/anais/wdes_v1_p.pdf" TargetMode="External"/><Relationship Id="rId19" Type="http://schemas.openxmlformats.org/officeDocument/2006/relationships/hyperlink" Target="http://www.lbd.dcc.ufmg.br/bdbcomp/servlet/Trabalho?id=7587" TargetMode="External"/><Relationship Id="rId4" Type="http://schemas.openxmlformats.org/officeDocument/2006/relationships/hyperlink" Target="http://www.lbd.dcc.ufmg.br/bdbcomp/servlet/Trabalho?id=6888" TargetMode="External"/><Relationship Id="rId9" Type="http://schemas.openxmlformats.org/officeDocument/2006/relationships/hyperlink" Target="http://www.lbd.dcc.ufmg.br/bdbcomp/servlet/Trabalho?id=6893" TargetMode="External"/><Relationship Id="rId14" Type="http://schemas.openxmlformats.org/officeDocument/2006/relationships/hyperlink" Target="http://www.lbd.dcc.ufmg.br/bdbcomp/servlet/Trabalho?id=7582" TargetMode="External"/><Relationship Id="rId22" Type="http://schemas.openxmlformats.org/officeDocument/2006/relationships/hyperlink" Target="http://www.lbd.dcc.ufmg.br/bdbcomp/servlet/Trabalho?id=7591" TargetMode="External"/><Relationship Id="rId27" Type="http://schemas.openxmlformats.org/officeDocument/2006/relationships/hyperlink" Target="http://www.lbd.dcc.ufmg.br/bdbcomp/servlet/Trabalho?id=7696" TargetMode="External"/><Relationship Id="rId30" Type="http://schemas.openxmlformats.org/officeDocument/2006/relationships/hyperlink" Target="http://www.lbd.dcc.ufmg.br/bdbcomp/servlet/Trabalho?id=7700" TargetMode="External"/><Relationship Id="rId35" Type="http://schemas.openxmlformats.org/officeDocument/2006/relationships/hyperlink" Target="http://www.lbd.dcc.ufmg.br/bdbcomp/servlet/Trabalho?id=13823" TargetMode="External"/><Relationship Id="rId43" Type="http://schemas.openxmlformats.org/officeDocument/2006/relationships/hyperlink" Target="http://www.lbd.dcc.ufmg.br/bdbcomp/servlet/Trabalho?id=13818" TargetMode="External"/><Relationship Id="rId48" Type="http://schemas.openxmlformats.org/officeDocument/2006/relationships/hyperlink" Target="http://www.lbd.dcc.ufmg.br/bdbcomp/servlet/Trabalho?id=13712" TargetMode="External"/><Relationship Id="rId56" Type="http://schemas.openxmlformats.org/officeDocument/2006/relationships/hyperlink" Target="http://www.lbd.dcc.ufmg.br/bdbcomp/servlet/Trabalho?id=13812" TargetMode="External"/><Relationship Id="rId64" Type="http://schemas.openxmlformats.org/officeDocument/2006/relationships/hyperlink" Target="http://cbsoft2013.unb.br/wp-content/uploads/2013/10/WDDS1.pdf" TargetMode="External"/><Relationship Id="rId69" Type="http://schemas.openxmlformats.org/officeDocument/2006/relationships/hyperlink" Target="http://cbsoft2013.unb.br/wp-content/uploads/2013/10/WDDS1.pdf" TargetMode="External"/><Relationship Id="rId77" Type="http://schemas.openxmlformats.org/officeDocument/2006/relationships/hyperlink" Target="http://cbsoft2013.unb.br/wp-content/uploads/2013/10/WDDS1.pdf" TargetMode="External"/><Relationship Id="rId8" Type="http://schemas.openxmlformats.org/officeDocument/2006/relationships/hyperlink" Target="http://www.lbd.dcc.ufmg.br/bdbcomp/servlet/Trabalho?id=6892" TargetMode="External"/><Relationship Id="rId51" Type="http://schemas.openxmlformats.org/officeDocument/2006/relationships/hyperlink" Target="http://www.lbd.dcc.ufmg.br/bdbcomp/servlet/Trabalho?id=13710" TargetMode="External"/><Relationship Id="rId72" Type="http://schemas.openxmlformats.org/officeDocument/2006/relationships/hyperlink" Target="http://cbsoft2013.unb.br/wp-content/uploads/2013/10/WDDS1.pdf" TargetMode="External"/><Relationship Id="rId80" Type="http://schemas.openxmlformats.org/officeDocument/2006/relationships/hyperlink" Target="http://www.ic.ufal.br/evento/cbsoft2014/anais/wdes_v1_p.pdf" TargetMode="External"/><Relationship Id="rId85" Type="http://schemas.openxmlformats.org/officeDocument/2006/relationships/hyperlink" Target="http://www.ic.ufal.br/evento/cbsoft2014/anais/wdes_v1_p.pdf" TargetMode="External"/><Relationship Id="rId3" Type="http://schemas.openxmlformats.org/officeDocument/2006/relationships/hyperlink" Target="http://www.lbd.dcc.ufmg.br/bdbcomp/servlet/Trabalho?id=6886" TargetMode="External"/><Relationship Id="rId12" Type="http://schemas.openxmlformats.org/officeDocument/2006/relationships/hyperlink" Target="http://www.lbd.dcc.ufmg.br/bdbcomp/servlet/Trabalho?id=6897" TargetMode="External"/><Relationship Id="rId17" Type="http://schemas.openxmlformats.org/officeDocument/2006/relationships/hyperlink" Target="http://www.lbd.dcc.ufmg.br/bdbcomp/servlet/Trabalho?id=7585" TargetMode="External"/><Relationship Id="rId25" Type="http://schemas.openxmlformats.org/officeDocument/2006/relationships/hyperlink" Target="http://www.lbd.dcc.ufmg.br/bdbcomp/servlet/Trabalho?id=7698" TargetMode="External"/><Relationship Id="rId33" Type="http://schemas.openxmlformats.org/officeDocument/2006/relationships/hyperlink" Target="http://www.lbd.dcc.ufmg.br/bdbcomp/servlet/Trabalho?id=7703" TargetMode="External"/><Relationship Id="rId38" Type="http://schemas.openxmlformats.org/officeDocument/2006/relationships/hyperlink" Target="http://www.lbd.dcc.ufmg.br/bdbcomp/servlet/Trabalho?id=13830" TargetMode="External"/><Relationship Id="rId46" Type="http://schemas.openxmlformats.org/officeDocument/2006/relationships/hyperlink" Target="http://www.lbd.dcc.ufmg.br/bdbcomp/servlet/Trabalho?id=13822" TargetMode="External"/><Relationship Id="rId59" Type="http://schemas.openxmlformats.org/officeDocument/2006/relationships/hyperlink" Target="http://www.lbd.dcc.ufmg.br/bdbcomp/servlet/Trabalho?id=13815" TargetMode="External"/><Relationship Id="rId67" Type="http://schemas.openxmlformats.org/officeDocument/2006/relationships/hyperlink" Target="http://cbsoft2013.unb.br/wp-content/uploads/2013/10/WDDS1.pdf" TargetMode="External"/><Relationship Id="rId20" Type="http://schemas.openxmlformats.org/officeDocument/2006/relationships/hyperlink" Target="http://www.lbd.dcc.ufmg.br/bdbcomp/servlet/Trabalho?id=7589" TargetMode="External"/><Relationship Id="rId41" Type="http://schemas.openxmlformats.org/officeDocument/2006/relationships/hyperlink" Target="http://www.lbd.dcc.ufmg.br/bdbcomp/servlet/Trabalho?id=13829" TargetMode="External"/><Relationship Id="rId54" Type="http://schemas.openxmlformats.org/officeDocument/2006/relationships/hyperlink" Target="http://www.lbd.dcc.ufmg.br/bdbcomp/servlet/Trabalho?id=13714" TargetMode="External"/><Relationship Id="rId62" Type="http://schemas.openxmlformats.org/officeDocument/2006/relationships/hyperlink" Target="http://cbsoft2013.unb.br/wp-content/uploads/2013/10/WDDS1.pdf" TargetMode="External"/><Relationship Id="rId70" Type="http://schemas.openxmlformats.org/officeDocument/2006/relationships/hyperlink" Target="http://cbsoft2013.unb.br/wp-content/uploads/2013/10/WDDS1.pdf" TargetMode="External"/><Relationship Id="rId75" Type="http://schemas.openxmlformats.org/officeDocument/2006/relationships/hyperlink" Target="http://cbsoft2013.unb.br/wp-content/uploads/2013/10/WDDS1.pdf" TargetMode="External"/><Relationship Id="rId83" Type="http://schemas.openxmlformats.org/officeDocument/2006/relationships/hyperlink" Target="http://www.ic.ufal.br/evento/cbsoft2014/anais/wdes_v1_p.pdf" TargetMode="External"/><Relationship Id="rId1" Type="http://schemas.openxmlformats.org/officeDocument/2006/relationships/hyperlink" Target="http://www.lbd.dcc.ufmg.br/bdbcomp/servlet/Trabalho?id=6887" TargetMode="External"/><Relationship Id="rId6" Type="http://schemas.openxmlformats.org/officeDocument/2006/relationships/hyperlink" Target="http://www.lbd.dcc.ufmg.br/bdbcomp/servlet/Trabalho?id=6890" TargetMode="External"/><Relationship Id="rId15" Type="http://schemas.openxmlformats.org/officeDocument/2006/relationships/hyperlink" Target="http://www.lbd.dcc.ufmg.br/bdbcomp/servlet/Trabalho?id=7583" TargetMode="External"/><Relationship Id="rId23" Type="http://schemas.openxmlformats.org/officeDocument/2006/relationships/hyperlink" Target="http://www.lbd.dcc.ufmg.br/bdbcomp/servlet/Trabalho?id=7592" TargetMode="External"/><Relationship Id="rId28" Type="http://schemas.openxmlformats.org/officeDocument/2006/relationships/hyperlink" Target="http://www.lbd.dcc.ufmg.br/bdbcomp/servlet/Trabalho?id=7697" TargetMode="External"/><Relationship Id="rId36" Type="http://schemas.openxmlformats.org/officeDocument/2006/relationships/hyperlink" Target="http://www.lbd.dcc.ufmg.br/bdbcomp/servlet/Trabalho?id=13825" TargetMode="External"/><Relationship Id="rId49" Type="http://schemas.openxmlformats.org/officeDocument/2006/relationships/hyperlink" Target="http://www.lbd.dcc.ufmg.br/bdbcomp/servlet/Trabalho?id=13715" TargetMode="External"/><Relationship Id="rId57" Type="http://schemas.openxmlformats.org/officeDocument/2006/relationships/hyperlink" Target="http://www.lbd.dcc.ufmg.br/bdbcomp/servlet/Trabalho?id=13813" TargetMode="External"/><Relationship Id="rId10" Type="http://schemas.openxmlformats.org/officeDocument/2006/relationships/hyperlink" Target="http://www.lbd.dcc.ufmg.br/bdbcomp/servlet/Trabalho?id=6894" TargetMode="External"/><Relationship Id="rId31" Type="http://schemas.openxmlformats.org/officeDocument/2006/relationships/hyperlink" Target="http://www.lbd.dcc.ufmg.br/bdbcomp/servlet/Trabalho?id=7701" TargetMode="External"/><Relationship Id="rId44" Type="http://schemas.openxmlformats.org/officeDocument/2006/relationships/hyperlink" Target="http://www.lbd.dcc.ufmg.br/bdbcomp/servlet/Trabalho?id=13819" TargetMode="External"/><Relationship Id="rId52" Type="http://schemas.openxmlformats.org/officeDocument/2006/relationships/hyperlink" Target="http://www.lbd.dcc.ufmg.br/bdbcomp/servlet/Trabalho?id=13709" TargetMode="External"/><Relationship Id="rId60" Type="http://schemas.openxmlformats.org/officeDocument/2006/relationships/hyperlink" Target="http://www.lbd.dcc.ufmg.br/bdbcomp/servlet/Trabalho?id=13816" TargetMode="External"/><Relationship Id="rId65" Type="http://schemas.openxmlformats.org/officeDocument/2006/relationships/hyperlink" Target="http://cbsoft2013.unb.br/wp-content/uploads/2013/10/WDDS1.pdf" TargetMode="External"/><Relationship Id="rId73" Type="http://schemas.openxmlformats.org/officeDocument/2006/relationships/hyperlink" Target="http://cbsoft2013.unb.br/wp-content/uploads/2013/10/WDDS1.pdf" TargetMode="External"/><Relationship Id="rId78" Type="http://schemas.openxmlformats.org/officeDocument/2006/relationships/hyperlink" Target="http://www.ic.ufal.br/evento/cbsoft2014/anais/wdes_v1_p.pdf" TargetMode="External"/><Relationship Id="rId81" Type="http://schemas.openxmlformats.org/officeDocument/2006/relationships/hyperlink" Target="http://www.ic.ufal.br/evento/cbsoft2014/anais/wdes_v1_p.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4"/>
  <sheetViews>
    <sheetView tabSelected="1" topLeftCell="A121" zoomScaleNormal="100" workbookViewId="0">
      <selection activeCell="H2" sqref="H2"/>
    </sheetView>
  </sheetViews>
  <sheetFormatPr defaultColWidth="15.140625" defaultRowHeight="87.75" customHeight="1"/>
  <cols>
    <col min="1" max="1" width="56.7109375" style="10" customWidth="1"/>
    <col min="2" max="2" width="62.7109375" style="10" customWidth="1"/>
    <col min="3" max="3" width="9.42578125" style="9" customWidth="1"/>
    <col min="4" max="4" width="24.7109375" style="9" customWidth="1"/>
    <col min="5" max="5" width="22.28515625" style="9" customWidth="1"/>
    <col min="6" max="6" width="19.42578125" style="9" customWidth="1"/>
    <col min="7" max="24" width="13.28515625" style="9" customWidth="1"/>
    <col min="25" max="16384" width="15.140625" style="9"/>
  </cols>
  <sheetData>
    <row r="1" spans="1:6" ht="87.75" customHeight="1">
      <c r="A1" s="27" t="s">
        <v>0</v>
      </c>
      <c r="B1" s="28" t="s">
        <v>1</v>
      </c>
      <c r="C1" s="31" t="s">
        <v>2</v>
      </c>
      <c r="D1" s="28" t="s">
        <v>3</v>
      </c>
      <c r="E1" s="28" t="s">
        <v>4</v>
      </c>
      <c r="F1" s="56" t="s">
        <v>5</v>
      </c>
    </row>
    <row r="2" spans="1:6" ht="87.75" customHeight="1">
      <c r="A2" s="25" t="s">
        <v>7</v>
      </c>
      <c r="B2" s="21" t="str">
        <f>HYPERLINK("https://scholar.google.com.br/scholar?q=Um+Ambiente+de+Desenvolvimento+Distribu%C3%ADdo+de+Software-DiSEN&amp;btnG=&amp;hl=es&amp;as_sdt=0%2C5&amp;as_vis=1","Um Ambiente de Desenvolvimento Distribuído de Software-DiSEN")</f>
        <v>Um Ambiente de Desenvolvimento Distribuído de Software-DiSEN</v>
      </c>
      <c r="C2" s="32">
        <v>2007</v>
      </c>
      <c r="D2" s="32">
        <v>21</v>
      </c>
      <c r="E2" s="33">
        <v>1</v>
      </c>
      <c r="F2" s="34">
        <f t="shared" ref="F2:F7" si="0">D2+E2</f>
        <v>22</v>
      </c>
    </row>
    <row r="3" spans="1:6" ht="87.75" customHeight="1">
      <c r="A3" s="26" t="s">
        <v>356</v>
      </c>
      <c r="B3" s="22" t="str">
        <f>HYPERLINK("https://scholar.google.com.br/scholar?q=%C2%A0Ado%C3%A7%C3%A3o+de+SCRUM+em+uma+F%C3%A1brica+de+Desenvolvimento+Distribu%C3%ADdo+de+Software&amp;btnG=&amp;hl=es&amp;as_sdt=0%2C5&amp;as_vis=1"," Adoção de SCRUM em uma Fábrica de Desenvolvimento Distribuído de Software")</f>
        <v> Adoção de SCRUM em uma Fábrica de Desenvolvimento Distribuído de Software</v>
      </c>
      <c r="C3" s="32">
        <v>2007</v>
      </c>
      <c r="D3" s="32">
        <v>6</v>
      </c>
      <c r="E3" s="33">
        <v>0</v>
      </c>
      <c r="F3" s="34">
        <f t="shared" si="0"/>
        <v>6</v>
      </c>
    </row>
    <row r="4" spans="1:6" ht="87.75" customHeight="1">
      <c r="A4" s="25" t="s">
        <v>16</v>
      </c>
      <c r="B4" s="22" t="str">
        <f>HYPERLINK("https://scholar.google.com.br/scholar?q=Um+Modelo+para+o+C%C3%A1lculo+da+Dist%C3%A2ncia+Percebida+Relativa+em+Equipes+Distribu%C3%ADdas+de+Desenvolvimento+de+Software&amp;btnG=&amp;hl=es&amp;as_sdt=0%2C5&amp;as_ylo=2007&amp;as_yhi=2007&amp;as_vis=1","  Um Modelo para o Cálculo da Distância Percebida Relativa em Equipes Distribuídas de Desenvolvimento de Software.")</f>
        <v>  Um Modelo para o Cálculo da Distância Percebida Relativa em Equipes Distribuídas de Desenvolvimento de Software.</v>
      </c>
      <c r="C4" s="32">
        <v>2007</v>
      </c>
      <c r="D4" s="32">
        <v>5</v>
      </c>
      <c r="E4" s="33">
        <v>0</v>
      </c>
      <c r="F4" s="34">
        <f t="shared" si="0"/>
        <v>5</v>
      </c>
    </row>
    <row r="5" spans="1:6" ht="87.75" customHeight="1">
      <c r="A5" s="26" t="s">
        <v>355</v>
      </c>
      <c r="B5" s="22" t="str">
        <f>HYPERLINK("https://scholar.google.com.br/scholar?q=Pol%C3%ADticas+de+Controle+de+Concorr%C3%AAncia+no+Desenvolvimento+Distribu%C3%ADdo+de+Software&amp;btnG=&amp;hl=es&amp;as_sdt=0%2C5&amp;as_vis=1","Políticas de Controle de Concorrência no Desenvolvimento Distribuído de Software")</f>
        <v>Políticas de Controle de Concorrência no Desenvolvimento Distribuído de Software</v>
      </c>
      <c r="C5" s="32">
        <v>2007</v>
      </c>
      <c r="D5" s="32">
        <v>2</v>
      </c>
      <c r="E5" s="33">
        <v>0</v>
      </c>
      <c r="F5" s="34">
        <f t="shared" si="0"/>
        <v>2</v>
      </c>
    </row>
    <row r="6" spans="1:6" ht="87.75" customHeight="1">
      <c r="A6" s="26" t="s">
        <v>354</v>
      </c>
      <c r="B6" s="22" t="str">
        <f>HYPERLINK("https://scholar.google.com.br/scholar?q=Theseus:+Tool+Support+for+Managers+of+Distributed+Software+Development+Projects&amp;hl=es&amp;as_sdt=0&amp;as_vis=1&amp;oi=scholart&amp;sa=X&amp;ved=0CDgQgQMwAGoVChMI2__AoNDqxgIVyh0-Ch2zCQee"," Theseus: Tool Support for Managers of Distributed Software Development Projects.")</f>
        <v> Theseus: Tool Support for Managers of Distributed Software Development Projects.</v>
      </c>
      <c r="C6" s="32">
        <v>2007</v>
      </c>
      <c r="D6" s="32">
        <v>1</v>
      </c>
      <c r="E6" s="33">
        <v>0</v>
      </c>
      <c r="F6" s="34">
        <f t="shared" si="0"/>
        <v>1</v>
      </c>
    </row>
    <row r="7" spans="1:6" ht="87.75" customHeight="1">
      <c r="A7" s="25" t="s">
        <v>16</v>
      </c>
      <c r="B7" s="22" t="str">
        <f>HYPERLINK("https://scholar.google.com.br/scholar?q=Como+Evoluem+as+Organiza%C3%A7%C3%B5es+de+DDS+em+Ambientes+de+Internal+Offshoring%3F+Um+Estudo+Qualitativo+Preliminar&amp;btnG=&amp;hl=es&amp;as_sdt=0%2C5&amp;as_ylo=2007&amp;as_yhi=2007&amp;as_vis=1"," Como Evoluem as Organizações de DDS em Ambientes de Internal Offshoring? Um Estudo Qualitativo Preliminar")</f>
        <v> Como Evoluem as Organizações de DDS em Ambientes de Internal Offshoring? Um Estudo Qualitativo Preliminar</v>
      </c>
      <c r="C7" s="32">
        <v>2007</v>
      </c>
      <c r="D7" s="32">
        <v>1</v>
      </c>
      <c r="E7" s="33">
        <v>0</v>
      </c>
      <c r="F7" s="34">
        <f t="shared" si="0"/>
        <v>1</v>
      </c>
    </row>
    <row r="8" spans="1:6" ht="87.75" customHeight="1">
      <c r="A8" s="26" t="s">
        <v>353</v>
      </c>
      <c r="B8" s="23" t="str">
        <f>HYPERLINK("http://www.lbd.dcc.ufmg.br/bdbcomp/servlet/Trabalho?id=6897","Uma Extensão do Framework ComponentForge para Desenvolvimento Distribuído de Software. ")</f>
        <v>Uma Extensão do Framework ComponentForge para Desenvolvimento Distribuído de Software. </v>
      </c>
      <c r="C8" s="32">
        <v>2007</v>
      </c>
      <c r="D8" s="37">
        <v>0</v>
      </c>
      <c r="E8" s="33">
        <v>0</v>
      </c>
      <c r="F8" s="38" t="s">
        <v>11</v>
      </c>
    </row>
    <row r="9" spans="1:6" ht="87.75" customHeight="1">
      <c r="A9" s="26" t="s">
        <v>352</v>
      </c>
      <c r="B9" s="21" t="str">
        <f>HYPERLINK("https://scholar.google.com.br/scholar?cluster=16309066698293021819&amp;hl=es&amp;as_sdt=0,5&amp;as_ylo=2007&amp;as_vis=1"," PEP - Uma Ferramenta de Apoio à Programação em Par Distribuída.")</f>
        <v> PEP - Uma Ferramenta de Apoio à Programação em Par Distribuída.</v>
      </c>
      <c r="C9" s="32">
        <v>2007</v>
      </c>
      <c r="D9" s="39">
        <v>0</v>
      </c>
      <c r="E9" s="33">
        <v>0</v>
      </c>
      <c r="F9" s="34" t="s">
        <v>11</v>
      </c>
    </row>
    <row r="10" spans="1:6" ht="87.75" customHeight="1">
      <c r="A10" s="25" t="s">
        <v>13</v>
      </c>
      <c r="B10" s="22" t="str">
        <f>HYPERLINK("https://scholar.google.com.br/scholar?cluster=14421275492800527344&amp;hl=es&amp;as_sdt=0,5&amp;as_ylo=2007&amp;as_vis=1","Uso de StoryBoards para a Documentacao dos Requisitos no Desenvolvimento Distribuído de Software")</f>
        <v>Uso de StoryBoards para a Documentacao dos Requisitos no Desenvolvimento Distribuído de Software</v>
      </c>
      <c r="C10" s="32">
        <v>2007</v>
      </c>
      <c r="D10" s="39">
        <v>0</v>
      </c>
      <c r="E10" s="33">
        <v>0</v>
      </c>
      <c r="F10" s="34" t="s">
        <v>11</v>
      </c>
    </row>
    <row r="11" spans="1:6" ht="87.75" customHeight="1">
      <c r="A11" s="25" t="s">
        <v>14</v>
      </c>
      <c r="B11" s="22" t="str">
        <f>HYPERLINK("https://scholar.google.com.br/scholar?cluster=8738334288929569669&amp;hl=es&amp;as_sdt=0,5&amp;as_ylo=2007&amp;as_yhi=2007&amp;as_vis=1"," Definição de Critérios para Análise Comparativa de Modelos de Referência para Desenvolvimento Global de Software")</f>
        <v> Definição de Critérios para Análise Comparativa de Modelos de Referência para Desenvolvimento Global de Software</v>
      </c>
      <c r="C11" s="32">
        <v>2007</v>
      </c>
      <c r="D11" s="39">
        <v>0</v>
      </c>
      <c r="E11" s="33">
        <v>0</v>
      </c>
      <c r="F11" s="34" t="s">
        <v>11</v>
      </c>
    </row>
    <row r="12" spans="1:6" ht="87.75" customHeight="1">
      <c r="A12" s="25" t="s">
        <v>15</v>
      </c>
      <c r="B12" s="22" t="str">
        <f>HYPERLINK("https://scholar.google.com.br/scholar?cluster=16099281217508739913&amp;hl=es&amp;as_sdt=0,5&amp;as_ylo=2007&amp;as_yhi=2007&amp;as_vis=1","Como o ensino de DDS pode auxiliar na aprendizagem de desenvolvimento de software como um todo? Uma avaliação inicial com alunos de cursos de graduação da PUCRS")</f>
        <v>Como o ensino de DDS pode auxiliar na aprendizagem de desenvolvimento de software como um todo? Uma avaliação inicial com alunos de cursos de graduação da PUCRS</v>
      </c>
      <c r="C12" s="32">
        <v>2007</v>
      </c>
      <c r="D12" s="39">
        <v>0</v>
      </c>
      <c r="E12" s="33">
        <v>0</v>
      </c>
      <c r="F12" s="34" t="s">
        <v>11</v>
      </c>
    </row>
    <row r="13" spans="1:6" ht="87.75" customHeight="1">
      <c r="A13" s="25" t="s">
        <v>17</v>
      </c>
      <c r="B13" s="21" t="str">
        <f>HYPERLINK("https://scholar.google.com.br/scholar?q=Towards+Distributed+Development:+MORPHOS+Process&amp;hl=es&amp;as_sdt=0,5&amp;as_vis=1","Towards Distributed Development: MORPHOS Process")</f>
        <v>Towards Distributed Development: MORPHOS Process</v>
      </c>
      <c r="C13" s="32">
        <v>2007</v>
      </c>
      <c r="D13" s="39">
        <v>0</v>
      </c>
      <c r="E13" s="33">
        <v>0</v>
      </c>
      <c r="F13" s="38" t="s">
        <v>11</v>
      </c>
    </row>
    <row r="14" spans="1:6" ht="87.75" customHeight="1">
      <c r="A14" s="25" t="s">
        <v>22</v>
      </c>
      <c r="B14" s="22" t="str">
        <f>HYPERLINK("https://scholar.google.com.br/scholar?q=Um+Conjunto+de+Solu%C3%A7%C3%B5es+para+Apoiar+o+Desenvolvimento+Distribu%C3%ADdo+de+Software&amp;btnG=&amp;hl=es&amp;as_sdt=0%2C5&amp;as_vis=1","Um Conjunto de Soluções para Apoiar o Desenvolvimento Distribuído de Software")</f>
        <v>Um Conjunto de Soluções para Apoiar o Desenvolvimento Distribuído de Software</v>
      </c>
      <c r="C14" s="32">
        <v>2008</v>
      </c>
      <c r="D14" s="32">
        <v>12</v>
      </c>
      <c r="E14" s="33">
        <v>1</v>
      </c>
      <c r="F14" s="34">
        <f>D14+E14</f>
        <v>13</v>
      </c>
    </row>
    <row r="15" spans="1:6" ht="87.75" customHeight="1">
      <c r="A15" s="26" t="s">
        <v>351</v>
      </c>
      <c r="B15" s="21" t="str">
        <f>HYPERLINK("https://scholar.google.com.br/scholar?q=Visualizando+a+Evolu%C3%A7%C3%A3o+de+Software+no+Desenvolvimento+Distribu%C3%ADdo&amp;btnG=&amp;hl=es&amp;as_sdt=0%2C5&amp;as_vis=1"," Visualizando a Evolução de Software no Desenvolvimento Distribuído.")</f>
        <v> Visualizando a Evolução de Software no Desenvolvimento Distribuído.</v>
      </c>
      <c r="C15" s="32">
        <v>2008</v>
      </c>
      <c r="D15" s="32">
        <v>4</v>
      </c>
      <c r="E15" s="33">
        <v>0</v>
      </c>
      <c r="F15" s="34">
        <f>D15+E15</f>
        <v>4</v>
      </c>
    </row>
    <row r="16" spans="1:6" ht="87.75" customHeight="1">
      <c r="A16" s="26" t="s">
        <v>350</v>
      </c>
      <c r="B16" s="22" t="str">
        <f>HYPERLINK("https://scholar.google.com.br/scholar?q=DiSEN-SCV%3A+Uma+estrat%C3%A9gia+para+replica%C3%A7%C3%A3o+de+reposit%C3%B3rios+e+aloca%C3%A7%C3%A3o+de+artefatos&amp;btnG=&amp;hl=es&amp;as_sdt=0%2C5&amp;as_vis=1","DiSEN-SCV: Uma estratégia para replicação de repositórios e alocação de artefatos. ")</f>
        <v>DiSEN-SCV: Uma estratégia para replicação de repositórios e alocação de artefatos. </v>
      </c>
      <c r="C16" s="32">
        <v>2008</v>
      </c>
      <c r="D16" s="32">
        <v>2</v>
      </c>
      <c r="E16" s="33">
        <v>0</v>
      </c>
      <c r="F16" s="34">
        <f>D16+E16</f>
        <v>2</v>
      </c>
    </row>
    <row r="17" spans="1:6" ht="87.75" customHeight="1">
      <c r="A17" s="26" t="s">
        <v>349</v>
      </c>
      <c r="B17" s="22" t="str">
        <f>HYPERLINK("https://scholar.google.com.br/scholar?cluster=4159901192245290379&amp;hl=es&amp;as_sdt=0,5&amp;as_ylo=2008&amp;as_yhi=2008&amp;as_vis=1","Compartilhamento de Informações sobre Processos em Ambientes Descentralizados de Desenvolvimento de Software.")</f>
        <v>Compartilhamento de Informações sobre Processos em Ambientes Descentralizados de Desenvolvimento de Software.</v>
      </c>
      <c r="C17" s="32">
        <v>2008</v>
      </c>
      <c r="D17" s="32">
        <v>1</v>
      </c>
      <c r="E17" s="33">
        <v>0</v>
      </c>
      <c r="F17" s="34">
        <f>D17+E17</f>
        <v>1</v>
      </c>
    </row>
    <row r="18" spans="1:6" ht="87.75" customHeight="1">
      <c r="A18" s="26" t="s">
        <v>348</v>
      </c>
      <c r="B18" s="21" t="str">
        <f>HYPERLINK("https://scholar.google.com.br/scholar?q=Uma+Proposta+de+Processo+de+Manuten%C3%A7%C3%A3o+Distribu%C3%ADda&amp;btnG=&amp;hl=es&amp;as_sdt=0%2C5&amp;as_vis=1","Uma Proposta de Processo de Manutenção Distribuída")</f>
        <v>Uma Proposta de Processo de Manutenção Distribuída</v>
      </c>
      <c r="C18" s="32">
        <v>2008</v>
      </c>
      <c r="D18" s="39">
        <v>0</v>
      </c>
      <c r="E18" s="33">
        <v>0</v>
      </c>
      <c r="F18" s="34" t="s">
        <v>11</v>
      </c>
    </row>
    <row r="19" spans="1:6" ht="87.75" customHeight="1">
      <c r="A19" s="25" t="s">
        <v>21</v>
      </c>
      <c r="B19" s="22" t="str">
        <f>HYPERLINK("https://scholar.google.com.br/scholar?cluster=3092331623885140093&amp;hl=es&amp;as_sdt=0,5&amp;as_vis=1","Um Processo de Gerência de Comunicação Baseada no PMBoK para o desenvolvimento Distribuído de Software")</f>
        <v>Um Processo de Gerência de Comunicação Baseada no PMBoK para o desenvolvimento Distribuído de Software</v>
      </c>
      <c r="C19" s="32">
        <v>2008</v>
      </c>
      <c r="D19" s="39">
        <v>0</v>
      </c>
      <c r="E19" s="33">
        <v>0</v>
      </c>
      <c r="F19" s="34" t="s">
        <v>11</v>
      </c>
    </row>
    <row r="20" spans="1:6" ht="87.75" customHeight="1">
      <c r="A20" s="26" t="s">
        <v>347</v>
      </c>
      <c r="B20" s="21" t="str">
        <f>HYPERLINK("https://scholar.google.com.br/scholar?q=A+Distributed+Intelligent+Pair-Software+Development+Tool&amp;btnG=&amp;hl=es&amp;as_sdt=0%2C5&amp;as_vis=1","A Distributed Intelligent Pair-Software Development Tool.")</f>
        <v>A Distributed Intelligent Pair-Software Development Tool.</v>
      </c>
      <c r="C20" s="32">
        <v>2008</v>
      </c>
      <c r="D20" s="39">
        <v>0</v>
      </c>
      <c r="E20" s="33">
        <v>0</v>
      </c>
      <c r="F20" s="34" t="s">
        <v>11</v>
      </c>
    </row>
    <row r="21" spans="1:6" ht="87.75" customHeight="1">
      <c r="A21" s="26" t="s">
        <v>346</v>
      </c>
      <c r="B21" s="23" t="str">
        <f>HYPERLINK("http://www.lbd.dcc.ufmg.br/bdbcomp/servlet/Trabalho?id=7593","Verificação e Validação para Desenvolvimento Distribuído de Software: Uma Revisão Sistemática.")</f>
        <v>Verificação e Validação para Desenvolvimento Distribuído de Software: Uma Revisão Sistemática.</v>
      </c>
      <c r="C21" s="32">
        <v>2008</v>
      </c>
      <c r="D21" s="37">
        <v>0</v>
      </c>
      <c r="E21" s="33">
        <v>0</v>
      </c>
      <c r="F21" s="38" t="s">
        <v>11</v>
      </c>
    </row>
    <row r="22" spans="1:6" ht="87.75" customHeight="1">
      <c r="A22" s="25" t="s">
        <v>25</v>
      </c>
      <c r="B22" s="22" t="str">
        <f>HYPERLINK("https://scholar.google.com.br/scholar?q=Um+Relato+de+Experi%C3%AAncia+com+uma+Infra-Estrutura+para+Desenvolvimento+Distribu%C3%ADdo+Baseado+em+Componentes&amp;hl=es&amp;as_sdt=0,5&amp;as_vis=1","Um Relato de Experiência com uma Infra-Estrutura para Desenvolvimento Distribuído Baseado em Componentes.")</f>
        <v>Um Relato de Experiência com uma Infra-Estrutura para Desenvolvimento Distribuído Baseado em Componentes.</v>
      </c>
      <c r="C22" s="32">
        <v>2008</v>
      </c>
      <c r="D22" s="39">
        <v>0</v>
      </c>
      <c r="E22" s="33">
        <v>0</v>
      </c>
      <c r="F22" s="34" t="s">
        <v>11</v>
      </c>
    </row>
    <row r="23" spans="1:6" ht="87.75" customHeight="1">
      <c r="A23" s="25" t="s">
        <v>16</v>
      </c>
      <c r="B23" s="22" t="s">
        <v>343</v>
      </c>
      <c r="C23" s="32">
        <v>2008</v>
      </c>
      <c r="D23" s="39">
        <v>0</v>
      </c>
      <c r="E23" s="33">
        <v>0</v>
      </c>
      <c r="F23" s="34" t="s">
        <v>11</v>
      </c>
    </row>
    <row r="24" spans="1:6" ht="87.75" customHeight="1">
      <c r="A24" s="26" t="s">
        <v>379</v>
      </c>
      <c r="B24" s="23" t="str">
        <f>HYPERLINK("http://www.lbd.dcc.ufmg.br/bdbcomp/servlet/Trabalho?id=7583","Suporte a Relacionamentos entre Equipes Distribuídas em um Repositório de Componentes de Software.")</f>
        <v>Suporte a Relacionamentos entre Equipes Distribuídas em um Repositório de Componentes de Software.</v>
      </c>
      <c r="C24" s="32">
        <v>2008</v>
      </c>
      <c r="D24" s="37">
        <v>0</v>
      </c>
      <c r="E24" s="33">
        <v>0</v>
      </c>
      <c r="F24" s="34" t="s">
        <v>11</v>
      </c>
    </row>
    <row r="25" spans="1:6" ht="87.75" customHeight="1">
      <c r="A25" s="26" t="s">
        <v>345</v>
      </c>
      <c r="B25" s="22" t="str">
        <f>HYPERLINK("https://scholar.google.com.br/scholar?q=Uma+Experi%C3%AAncia+na+Adapta%C3%A7%C3%A3o+do+RUP+em+Pequenas+Equipes+de+Desenvolvimento+Distribu%C3%ADdo&amp;btnG=&amp;hl=es&amp;as_sdt=0%2C5&amp;as_vis=1"," Uma Experiência na Adaptação do RUP em Pequenas Equipes de Desenvolvimento Distribuído")</f>
        <v> Uma Experiência na Adaptação do RUP em Pequenas Equipes de Desenvolvimento Distribuído</v>
      </c>
      <c r="C25" s="32">
        <v>2008</v>
      </c>
      <c r="D25" s="52">
        <v>1</v>
      </c>
      <c r="E25" s="33">
        <v>0</v>
      </c>
      <c r="F25" s="34" t="s">
        <v>11</v>
      </c>
    </row>
    <row r="26" spans="1:6" ht="87.75" customHeight="1">
      <c r="A26" s="26" t="s">
        <v>357</v>
      </c>
      <c r="B26" s="22" t="str">
        <f>HYPERLINK("https://scholar.google.com.br/scholar?q=Collaborative+Software+Development+Process+for+Geographically+Distributed+Teams&amp;btnG=&amp;hl=es&amp;as_sdt=0%2C5&amp;as_vis=1","Collaborative Software Development Process for Geographically Distributed Teams.")</f>
        <v>Collaborative Software Development Process for Geographically Distributed Teams.</v>
      </c>
      <c r="C26" s="32">
        <v>2009</v>
      </c>
      <c r="D26" s="32">
        <v>2</v>
      </c>
      <c r="E26" s="33">
        <v>2</v>
      </c>
      <c r="F26" s="34">
        <f t="shared" ref="F26:F32" si="1">D26+E26</f>
        <v>4</v>
      </c>
    </row>
    <row r="27" spans="1:6" ht="87.75" customHeight="1">
      <c r="A27" s="25" t="s">
        <v>30</v>
      </c>
      <c r="B27" s="22" t="str">
        <f>HYPERLINK("https://scholar.google.com.br/scholar?q=Ferramenta+Open-Source+para+Apoio+ao+Uso+do+Scrum+por+Equipes+Distribu%C3%ADdas&amp;btnG=&amp;hl=es&amp;as_sdt=0%2C5&amp;as_vis=1","Ferramenta Open-Source para Apoio ao Uso do Scrum por Equipes Distribuídas.")</f>
        <v>Ferramenta Open-Source para Apoio ao Uso do Scrum por Equipes Distribuídas.</v>
      </c>
      <c r="C27" s="32">
        <v>2009</v>
      </c>
      <c r="D27" s="32">
        <v>4</v>
      </c>
      <c r="E27" s="33">
        <v>0</v>
      </c>
      <c r="F27" s="34">
        <f t="shared" si="1"/>
        <v>4</v>
      </c>
    </row>
    <row r="28" spans="1:6" ht="87.75" customHeight="1">
      <c r="A28" s="25" t="s">
        <v>34</v>
      </c>
      <c r="B28" s="22" t="str">
        <f>HYPERLINK("https://scholar.google.com.br/scholar?q=Padr%C3%B5es+para+Percep%C3%A7%C3%A3o+da+Colabora%C3%A7%C3%A3o+em+Redes+Sociais+de+Desenvolvimento+de+Software&amp;btnG=&amp;hl=es&amp;as_sdt=0%2C5&amp;as_vis=1"," Padrões para Percepção da Colaboração em Redes Sociais de Desenvolvimento de Software")</f>
        <v> Padrões para Percepção da Colaboração em Redes Sociais de Desenvolvimento de Software</v>
      </c>
      <c r="C28" s="32">
        <v>2009</v>
      </c>
      <c r="D28" s="32">
        <v>3</v>
      </c>
      <c r="E28" s="33">
        <v>0</v>
      </c>
      <c r="F28" s="34">
        <f t="shared" si="1"/>
        <v>3</v>
      </c>
    </row>
    <row r="29" spans="1:6" ht="87.75" customHeight="1">
      <c r="A29" s="25" t="s">
        <v>16</v>
      </c>
      <c r="B29" s="21" t="str">
        <f>HYPERLINK("https://scholar.google.com.br/scholar?q=Desenvolvimento+Distribu%C3%ADdo+de+Software+com+Captive+Centers&amp;btnG=&amp;hl=es&amp;as_sdt=0%2C5&amp;as_vis=1","Desenvolvimento Distribuído de Software com Captive Centers.")</f>
        <v>Desenvolvimento Distribuído de Software com Captive Centers.</v>
      </c>
      <c r="C29" s="32">
        <v>2009</v>
      </c>
      <c r="D29" s="32">
        <v>2</v>
      </c>
      <c r="E29" s="33">
        <v>0</v>
      </c>
      <c r="F29" s="34">
        <f t="shared" si="1"/>
        <v>2</v>
      </c>
    </row>
    <row r="30" spans="1:6" ht="87.75" customHeight="1">
      <c r="A30" s="26" t="s">
        <v>358</v>
      </c>
      <c r="B30" s="22" t="str">
        <f>HYPERLINK("https://scholar.google.com.br/scholar?q=An+Approach+for+Collaborative+and+Distributed+Software+Process+Improvement+%28SPI%29&amp;btnG=&amp;hl=es&amp;as_sdt=0%2C5&amp;as_vis=1"," An Approach for Collaborative and Distributed Software Process Improvement (SPI).")</f>
        <v> An Approach for Collaborative and Distributed Software Process Improvement (SPI).</v>
      </c>
      <c r="C30" s="32">
        <v>2009</v>
      </c>
      <c r="D30" s="32">
        <v>3</v>
      </c>
      <c r="E30" s="33">
        <v>1</v>
      </c>
      <c r="F30" s="34">
        <f t="shared" si="1"/>
        <v>4</v>
      </c>
    </row>
    <row r="31" spans="1:6" ht="87.75" customHeight="1">
      <c r="A31" s="26" t="s">
        <v>359</v>
      </c>
      <c r="B31" s="22" t="str">
        <f>HYPERLINK("https://scholar.google.com.br/scholar?q=Aplica%C3%A7%C3%A3o+de+Apoio+Computacional+Baseado+em+Processos+de+Neg%C3%B3cio+e+Servi%C3%A7os+Web+para+o+Desenvolvimento+Distribu%C3%ADdo+de+Software&amp;btnG=&amp;hl=es&amp;as_sdt=0%2C5&amp;as_vis=1","Aplicação de Apoio Computacional Baseado em Processos de Negócio e Serviços Web para o Desenvolvimento Distribuído de Software")</f>
        <v>Aplicação de Apoio Computacional Baseado em Processos de Negócio e Serviços Web para o Desenvolvimento Distribuído de Software</v>
      </c>
      <c r="C31" s="32">
        <v>2009</v>
      </c>
      <c r="D31" s="32">
        <v>1</v>
      </c>
      <c r="E31" s="33">
        <v>0</v>
      </c>
      <c r="F31" s="34">
        <f t="shared" si="1"/>
        <v>1</v>
      </c>
    </row>
    <row r="32" spans="1:6" ht="87.75" customHeight="1">
      <c r="A32" s="26" t="s">
        <v>360</v>
      </c>
      <c r="B32" s="22" t="str">
        <f>HYPERLINK("https://scholar.google.com.br/scholar?q=DiSEN-Updater%3A+Um+Mecanismo+de+Atualiza%C3%A7%C3%A3o+Din%C3%A2mica+de+Ferramentas+para+um+Ambiente+de+Desenvolvimento+Distribu%C3%ADdo+de+Software&amp;btnG=&amp;hl=es&amp;as_sdt=0%2C5&amp;as_vis=1"," DiSEN-Updater: Um Mecanismo de Atualização Dinâmica de Ferramentas para um Ambiente de Desenvolvimento Distribuído de Software")</f>
        <v> DiSEN-Updater: Um Mecanismo de Atualização Dinâmica de Ferramentas para um Ambiente de Desenvolvimento Distribuído de Software</v>
      </c>
      <c r="C32" s="32">
        <v>2009</v>
      </c>
      <c r="D32" s="32">
        <v>1</v>
      </c>
      <c r="E32" s="33">
        <v>1</v>
      </c>
      <c r="F32" s="34">
        <f t="shared" si="1"/>
        <v>2</v>
      </c>
    </row>
    <row r="33" spans="1:6" ht="87.75" customHeight="1">
      <c r="A33" s="26" t="s">
        <v>361</v>
      </c>
      <c r="B33" s="36" t="str">
        <f>HYPERLINK("https://scholar.google.com.br/scholar?q=Estimativa+de+Esfor%C3%A7o+em+Projetos+de+DDS&amp;btnG=&amp;hl=es&amp;as_sdt=0%2C5&amp;as_vis=1","Estimativa de Esforço em Projetos de DDS. ")</f>
        <v>Estimativa de Esforço em Projetos de DDS. </v>
      </c>
      <c r="C33" s="32">
        <v>2009</v>
      </c>
      <c r="D33" s="39">
        <v>0</v>
      </c>
      <c r="E33" s="33">
        <v>0</v>
      </c>
      <c r="F33" s="34" t="s">
        <v>11</v>
      </c>
    </row>
    <row r="34" spans="1:6" ht="87.75" customHeight="1">
      <c r="A34" s="26" t="s">
        <v>362</v>
      </c>
      <c r="B34" s="22" t="str">
        <f>HYPERLINK("https://scholar.google.com.br/scholar?q=Proposta+de+Boas+Pr%C3%A1ticas+no+Processo+de+Comunica%C3%A7%C3%A3o+em+Projetos+Distribu%C3%ADdos&amp;btnG=&amp;hl=es&amp;as_sdt=0%2C5&amp;as_vis=1","Proposta de Boas Práticas no Processo de Comunicação em Projetos Distribuídos")</f>
        <v>Proposta de Boas Práticas no Processo de Comunicação em Projetos Distribuídos</v>
      </c>
      <c r="C34" s="32">
        <v>2009</v>
      </c>
      <c r="D34" s="39">
        <v>0</v>
      </c>
      <c r="E34" s="33">
        <v>2</v>
      </c>
      <c r="F34" s="34" t="s">
        <v>11</v>
      </c>
    </row>
    <row r="35" spans="1:6" ht="87.75" customHeight="1">
      <c r="A35" s="26" t="s">
        <v>363</v>
      </c>
      <c r="B35" s="22" t="str">
        <f>HYPERLINK("https://scholar.google.com.br/scholar?q=Uma+Arquitetura+para+o+Gerenciamento+de+Artefatos+de+Testes+Desenvolvidos+por+Equipes+Distribu%C3%ADdas&amp;btnG=&amp;hl=es&amp;as_sdt=0%2C5&amp;as_vis=1"," Uma Arquitetura para o Gerenciamento de Artefatos de Testes Desenvolvidos por Equipes Distribuídas.")</f>
        <v> Uma Arquitetura para o Gerenciamento de Artefatos de Testes Desenvolvidos por Equipes Distribuídas.</v>
      </c>
      <c r="C35" s="32">
        <v>2009</v>
      </c>
      <c r="D35" s="39">
        <v>0</v>
      </c>
      <c r="E35" s="33">
        <v>0</v>
      </c>
      <c r="F35" s="34" t="s">
        <v>11</v>
      </c>
    </row>
    <row r="36" spans="1:6" ht="87.75" customHeight="1">
      <c r="A36" s="26" t="s">
        <v>364</v>
      </c>
      <c r="B36" s="22" t="str">
        <f>HYPERLINK("https://scholar.google.com.br/scholar?q=Recomendacoes+para+a+Gestao+do+Desenvolvimento+de+Software+com+Equipes+Distribu&amp;btnG=&amp;hl=es&amp;as_sdt=0%2C5&amp;as_vis=1"," Recomendacoes para a Gestao do Desenvolvimento de Software com Equipes Distribu?das")</f>
        <v> Recomendacoes para a Gestao do Desenvolvimento de Software com Equipes Distribu?das</v>
      </c>
      <c r="C36" s="32">
        <v>2010</v>
      </c>
      <c r="D36" s="32">
        <v>4</v>
      </c>
      <c r="E36" s="35">
        <f>1-1</f>
        <v>0</v>
      </c>
      <c r="F36" s="34">
        <f t="shared" ref="F36:F44" si="2">D36+E36</f>
        <v>4</v>
      </c>
    </row>
    <row r="37" spans="1:6" ht="87.75" customHeight="1">
      <c r="A37" s="26" t="s">
        <v>51</v>
      </c>
      <c r="B37" s="22" t="str">
        <f>HYPERLINK("https://scholar.google.com.br/scholar?q=Modelos+de+Colabora%C3%A7%C3%A3o+no+Desenvolvimento+Distribu%C3%ADdo+de+Software%3A+uma+Revis%C3%A3o+Sistem%C3%A1tica+da+Literatura&amp;btnG=&amp;hl=es&amp;as_sdt=0%2C5&amp;as_vis=1","Modelos de Colaboração no Desenvolvimento Distribuído de Software: uma Revisão Sistemática da Literatura")</f>
        <v>Modelos de Colaboração no Desenvolvimento Distribuído de Software: uma Revisão Sistemática da Literatura</v>
      </c>
      <c r="C37" s="32">
        <v>2010</v>
      </c>
      <c r="D37" s="32">
        <v>5</v>
      </c>
      <c r="E37" s="33">
        <v>0</v>
      </c>
      <c r="F37" s="34">
        <f t="shared" si="2"/>
        <v>5</v>
      </c>
    </row>
    <row r="38" spans="1:6" ht="87.75" customHeight="1">
      <c r="A38" s="26" t="s">
        <v>365</v>
      </c>
      <c r="B38" s="22" t="str">
        <f>HYPERLINK("https://scholar.google.com.br/scholar?q=Um+Framework+de+Recomenda%C3%A7%C3%A3o+para+Aloca%C3%A7%C3%A3o+de+Equipes+de+Desenvolvimento+em+Projetos+Distribu%C3%ADdos+de+Linhas+de+Produto+de+Software&amp;btnG=&amp;hl=es&amp;as_sdt=0%2C5&amp;as_vis=1","Um Framework de Recomendação para Alocação de Equipes de Desenvolvimento em Projetos Distribuídos de Linhas de Produto de Software")</f>
        <v>Um Framework de Recomendação para Alocação de Equipes de Desenvolvimento em Projetos Distribuídos de Linhas de Produto de Software</v>
      </c>
      <c r="C38" s="32">
        <v>2010</v>
      </c>
      <c r="D38" s="32">
        <v>3</v>
      </c>
      <c r="E38" s="35">
        <f>2-2</f>
        <v>0</v>
      </c>
      <c r="F38" s="34">
        <f t="shared" si="2"/>
        <v>3</v>
      </c>
    </row>
    <row r="39" spans="1:6" ht="87.75" customHeight="1">
      <c r="A39" s="25" t="s">
        <v>37</v>
      </c>
      <c r="B39" s="21" t="str">
        <f>HYPERLINK("https://scholar.google.com.br/scholar?q=M3DS%3A+um+modelo+de+din%C3%A2mica+de+desenvolvimento+distribu%C3%ADdo+de+software&amp;btnG=&amp;hl=es&amp;as_sdt=0%2C5&amp;as_vis=1","M3DS: um modelo de dinâmica de desenvolvimento distribuído de software")</f>
        <v>M3DS: um modelo de dinâmica de desenvolvimento distribuído de software</v>
      </c>
      <c r="C39" s="32">
        <v>2010</v>
      </c>
      <c r="D39" s="32">
        <v>2</v>
      </c>
      <c r="E39" s="33">
        <v>0</v>
      </c>
      <c r="F39" s="34">
        <f t="shared" si="2"/>
        <v>2</v>
      </c>
    </row>
    <row r="40" spans="1:6" ht="87.75" customHeight="1">
      <c r="A40" s="26" t="s">
        <v>366</v>
      </c>
      <c r="B40" s="22" t="s">
        <v>344</v>
      </c>
      <c r="C40" s="32">
        <v>2010</v>
      </c>
      <c r="D40" s="32">
        <v>2</v>
      </c>
      <c r="E40" s="33">
        <v>0</v>
      </c>
      <c r="F40" s="34">
        <f t="shared" si="2"/>
        <v>2</v>
      </c>
    </row>
    <row r="41" spans="1:6" ht="87.75" customHeight="1">
      <c r="A41" s="26" t="s">
        <v>37</v>
      </c>
      <c r="B41" s="21" t="str">
        <f>HYPERLINK("https://scholar.google.com.br/scholar?q=Os+princ%C3%ADpios+%C3%A1geis+na+din%C3%A2mica+do+desenvolvimento+distribu%C3%ADdo+de+software&amp;btnG=&amp;hl=es&amp;as_sdt=0%2C5&amp;as_vis=1","Os princípios ágeis na dinâmica do desenvolvimento distribuído de software")</f>
        <v>Os princípios ágeis na dinâmica do desenvolvimento distribuído de software</v>
      </c>
      <c r="C41" s="32">
        <v>2010</v>
      </c>
      <c r="D41" s="32">
        <v>1</v>
      </c>
      <c r="E41" s="33">
        <v>0</v>
      </c>
      <c r="F41" s="34">
        <f t="shared" si="2"/>
        <v>1</v>
      </c>
    </row>
    <row r="42" spans="1:6" ht="87.75" customHeight="1">
      <c r="A42" s="26" t="s">
        <v>367</v>
      </c>
      <c r="B42" s="22" t="str">
        <f>HYPERLINK("https://scholar.google.com.br/scholar?q=Desafios+e+Boas+Pr%C3%A1ticas+para+o+Gerenciamento+de+Projetos+no+Desenvolvimento+Distribu%C3%ADdo+de+Software&amp;btnG=&amp;hl=es&amp;as_sdt=0%2C5&amp;as_vis=1","Desafios e Boas Práticas para o Gerenciamento de Projetos no Desenvolvimento Distribuído de Software")</f>
        <v>Desafios e Boas Práticas para o Gerenciamento de Projetos no Desenvolvimento Distribuído de Software</v>
      </c>
      <c r="C42" s="32">
        <v>2010</v>
      </c>
      <c r="D42" s="32">
        <v>1</v>
      </c>
      <c r="E42" s="33">
        <v>0</v>
      </c>
      <c r="F42" s="34">
        <f t="shared" si="2"/>
        <v>1</v>
      </c>
    </row>
    <row r="43" spans="1:6" ht="87.75" customHeight="1">
      <c r="A43" s="25" t="s">
        <v>51</v>
      </c>
      <c r="B43" s="21" t="str">
        <f>HYPERLINK("https://scholar.google.com.br/scholar?q=Desafios+nas+Fases+do+ciclo+de+vida+de+Projetos+Distribu%C3%ADdos&amp;btnG=&amp;hl=es&amp;as_sdt=0%2C5&amp;as_vis=1"," Desafios nas Fases do ciclo de vida de Projetos Distribuídos.")</f>
        <v> Desafios nas Fases do ciclo de vida de Projetos Distribuídos.</v>
      </c>
      <c r="C43" s="32">
        <v>2010</v>
      </c>
      <c r="D43" s="32">
        <v>1</v>
      </c>
      <c r="E43" s="33">
        <v>1</v>
      </c>
      <c r="F43" s="34">
        <f t="shared" si="2"/>
        <v>2</v>
      </c>
    </row>
    <row r="44" spans="1:6" ht="87.75" customHeight="1">
      <c r="A44" s="25" t="s">
        <v>54</v>
      </c>
      <c r="B44" s="22" t="str">
        <f>HYPERLINK("https://scholar.google.com.br/scholar?q=Uso+de+Ontologia+no+Estabelecimento+de+Contratos+Eletr%C3%B4nicos+para+Processos+Interorganizacionais+em+DDS&amp;btnG=&amp;hl=es&amp;as_sdt=0%2C5&amp;as_vis=1"," Uso de Ontologia no Estabelecimento de Contratos Eletrônicos para Processos Interorganizacionais em DDS.")</f>
        <v> Uso de Ontologia no Estabelecimento de Contratos Eletrônicos para Processos Interorganizacionais em DDS.</v>
      </c>
      <c r="C44" s="32">
        <v>2010</v>
      </c>
      <c r="D44" s="32">
        <v>1</v>
      </c>
      <c r="E44" s="33">
        <v>0</v>
      </c>
      <c r="F44" s="34">
        <f t="shared" si="2"/>
        <v>1</v>
      </c>
    </row>
    <row r="45" spans="1:6" ht="87.75" customHeight="1">
      <c r="A45" s="26" t="s">
        <v>368</v>
      </c>
      <c r="B45" s="22" t="str">
        <f>HYPERLINK("https://scholar.google.com.br/scholar?q=OntoDiSEN%3A+uma+ontologia+para+apoiar+o+desenvolvimento+distribu&amp;btnG=&amp;hl=es&amp;as_sdt=0%2C5&amp;as_vis=1","OntoDiSEN: uma ontologia para apoiar o desenvolvimento distribu´?do de software. ")</f>
        <v>OntoDiSEN: uma ontologia para apoiar o desenvolvimento distribu´?do de software. </v>
      </c>
      <c r="C45" s="32">
        <v>2010</v>
      </c>
      <c r="D45" s="39">
        <v>0</v>
      </c>
      <c r="E45" s="33">
        <v>0</v>
      </c>
      <c r="F45" s="34" t="s">
        <v>11</v>
      </c>
    </row>
    <row r="46" spans="1:6" ht="87.75" customHeight="1">
      <c r="A46" s="26" t="s">
        <v>369</v>
      </c>
      <c r="B46" s="21" t="str">
        <f>HYPERLINK("https://scholar.google.com.br/scholar?q=Alocando+Equipes+Distribu%C3%ADdas+com+base+em+Aspectos+N%C3%A3o-T%C3%A9cnicos&amp;btnG=&amp;hl=es&amp;as_sdt=0%2C5&amp;as_vis=1","Alocando Equipes Distribuídas com base em Aspectos Não-Técnicos")</f>
        <v>Alocando Equipes Distribuídas com base em Aspectos Não-Técnicos</v>
      </c>
      <c r="C46" s="32">
        <v>2010</v>
      </c>
      <c r="D46" s="39">
        <v>0</v>
      </c>
      <c r="E46" s="33">
        <v>0</v>
      </c>
      <c r="F46" s="34" t="s">
        <v>11</v>
      </c>
    </row>
    <row r="47" spans="1:6" ht="87.75" customHeight="1">
      <c r="A47" s="26" t="s">
        <v>127</v>
      </c>
      <c r="B47" s="23" t="str">
        <f>HYPERLINK("http://www.lbd.dcc.ufmg.br/bdbcomp/servlet/Trabalho?id=13823","Global Software Engineering e o seu impacto na área de Reuso de Software. Quais são as Oportunidades e os Desafios?.")</f>
        <v>Global Software Engineering e o seu impacto na área de Reuso de Software. Quais são as Oportunidades e os Desafios?.</v>
      </c>
      <c r="C47" s="32">
        <v>2010</v>
      </c>
      <c r="D47" s="37">
        <v>0</v>
      </c>
      <c r="E47" s="33">
        <v>0</v>
      </c>
      <c r="F47" s="38" t="s">
        <v>11</v>
      </c>
    </row>
    <row r="48" spans="1:6" ht="87.75" customHeight="1">
      <c r="A48" s="26" t="s">
        <v>370</v>
      </c>
      <c r="B48" s="22" t="str">
        <f>HYPERLINK("https://scholar.google.com.br/scholar?q=Classificando+organiza%C3%A7%C3%B5es+de+Desenvolvimento+Distribu%C3%ADdo+de+Software+no+modelo+de+capacidade+WAVE&amp;btnG=&amp;hl=es&amp;as_sdt=0%2C5&amp;as_vis=1","Classificando organizações de Desenvolvimento Distribuído de Software no modelo de capacidade WAVE")</f>
        <v>Classificando organizações de Desenvolvimento Distribuído de Software no modelo de capacidade WAVE</v>
      </c>
      <c r="C48" s="32">
        <v>2010</v>
      </c>
      <c r="D48" s="52">
        <v>1</v>
      </c>
      <c r="E48" s="33">
        <v>0</v>
      </c>
      <c r="F48" s="34" t="s">
        <v>11</v>
      </c>
    </row>
    <row r="49" spans="1:6" ht="87.75" customHeight="1">
      <c r="A49" s="26" t="s">
        <v>371</v>
      </c>
      <c r="B49" s="22" t="str">
        <f>HYPERLINK("https://scholar.google.com.br/scholar?q=Aloca%C3%A7%C3%A3o+de+Tarefas+em+Projetos+de+Desenvolvimento+Distribu%C3%ADdo+de+Software%3A+An%C3%A1lise+das+Solu%C3%A7%C3%B5es+Existentes&amp;btnG=&amp;hl=es&amp;as_sdt=0%2C5&amp;as_vis=1"," Alocação de Tarefas em Projetos de Desenvolvimento Distribuído de Software: Análise das Soluções Existentes")</f>
        <v> Alocação de Tarefas em Projetos de Desenvolvimento Distribuído de Software: Análise das Soluções Existentes</v>
      </c>
      <c r="C49" s="32">
        <v>2011</v>
      </c>
      <c r="D49" s="32">
        <v>3</v>
      </c>
      <c r="E49" s="33">
        <v>0</v>
      </c>
      <c r="F49" s="34">
        <f>D49+E49</f>
        <v>3</v>
      </c>
    </row>
    <row r="50" spans="1:6" ht="87.75" customHeight="1">
      <c r="A50" s="26" t="s">
        <v>369</v>
      </c>
      <c r="B50" s="22" t="str">
        <f>HYPERLINK("https://scholar.google.com.br/scholar?q=Uso+de+Atributos+N%C3%A3o-t%C3%A9cnicos+na+Aloca%C3%A7%C3%A3o+de+Equipes+em+Projetos+de+Desenvolvimento+Distribu%C3%ADdo+de+Software&amp;btnG=&amp;hl=es&amp;as_sdt=0%2C5&amp;as_vis=1"," Uso de Atributos Não-técnicos na Alocação de Equipes em Projetos de Desenvolvimento Distribuído de Software. ")</f>
        <v> Uso de Atributos Não-técnicos na Alocação de Equipes em Projetos de Desenvolvimento Distribuído de Software. </v>
      </c>
      <c r="C50" s="32">
        <v>2011</v>
      </c>
      <c r="D50" s="32">
        <v>2</v>
      </c>
      <c r="E50" s="33">
        <v>0</v>
      </c>
      <c r="F50" s="34">
        <f>D50+E50</f>
        <v>2</v>
      </c>
    </row>
    <row r="51" spans="1:6" ht="87.75" customHeight="1">
      <c r="A51" s="26" t="s">
        <v>372</v>
      </c>
      <c r="B51" s="22" t="str">
        <f>HYPERLINK("https://scholar.google.com.br/scholar?q=Uma+Abordagem+Baseada+em+L%C3%B3gica+Nebulosa+para+Sele%C3%A7%C3%A3o+de+Equipes+Distribu%C3%ADdas+Tecnicamente+Qualificadas&amp;btnG=&amp;hl=es&amp;as_sdt=0%2C5&amp;as_vis=1","Uma Abordagem Baseada em Lógica Nebulosa para Seleção de Equipes Distribuídas Tecnicamente Qualificadas")</f>
        <v>Uma Abordagem Baseada em Lógica Nebulosa para Seleção de Equipes Distribuídas Tecnicamente Qualificadas</v>
      </c>
      <c r="C51" s="32">
        <v>2011</v>
      </c>
      <c r="D51" s="32">
        <v>2</v>
      </c>
      <c r="E51" s="33">
        <v>0</v>
      </c>
      <c r="F51" s="34">
        <f>D51+E51</f>
        <v>2</v>
      </c>
    </row>
    <row r="52" spans="1:6" ht="87.75" customHeight="1">
      <c r="A52" s="26" t="s">
        <v>373</v>
      </c>
      <c r="B52" s="22" t="str">
        <f>HYPERLINK("https://scholar.google.com.br/scholar?q=Desmistificando+o+Desenvolvimento+de+Software+Follow-the-Sun%3A+Caracteriza%C3%A7%C3%A3o+e+Li%C3%A7%C3%B5es+Aprendidas&amp;btnG=&amp;hl=es&amp;as_sdt=0%2C5&amp;as_vis=1"," Desmistificando o Desenvolvimento de Software Follow-the-Sun: Caracterização e Lições Aprendidas.")</f>
        <v> Desmistificando o Desenvolvimento de Software Follow-the-Sun: Caracterização e Lições Aprendidas.</v>
      </c>
      <c r="C52" s="32">
        <v>2011</v>
      </c>
      <c r="D52" s="32">
        <v>1</v>
      </c>
      <c r="E52" s="33">
        <v>0</v>
      </c>
      <c r="F52" s="34">
        <f>D52+E52</f>
        <v>1</v>
      </c>
    </row>
    <row r="53" spans="1:6" ht="87.75" customHeight="1">
      <c r="A53" s="26" t="s">
        <v>374</v>
      </c>
      <c r="B53" s="22" t="str">
        <f>HYPERLINK("https://scholar.google.com.br/scholar?q=A+Utiliza%C3%A7%C3%A3o+de+Pr%C3%A1ticas+Scrum+no+Desenvolvimento+de+Software+com+Equipes+Grandes+e+Distribu%C3%ADdas%3A+um+Relato+de+Experi%C3%AAncia&amp;btnG=&amp;hl=es&amp;as_sdt=0%2C5&amp;as_vis=1"," A Utilização de Práticas Scrum no Desenvolvimento de Software com Equipes Grandes e Distribuídas: um Relato de Experiência")</f>
        <v> A Utilização de Práticas Scrum no Desenvolvimento de Software com Equipes Grandes e Distribuídas: um Relato de Experiência</v>
      </c>
      <c r="C53" s="32">
        <v>2011</v>
      </c>
      <c r="D53" s="52">
        <v>1</v>
      </c>
      <c r="E53" s="33">
        <v>0</v>
      </c>
      <c r="F53" s="34" t="s">
        <v>11</v>
      </c>
    </row>
    <row r="54" spans="1:6" ht="87.75" customHeight="1">
      <c r="A54" s="25" t="s">
        <v>59</v>
      </c>
      <c r="B54" s="24" t="str">
        <f>HYPERLINK("http://www.lbd.dcc.ufmg.br/bdbcomp/servlet/Trabalho?id=13714"," Uma abordagem distribu?da para o Desenvolvimento Orientado a Modelos")</f>
        <v> Uma abordagem distribu?da para o Desenvolvimento Orientado a Modelos</v>
      </c>
      <c r="C54" s="32">
        <v>2011</v>
      </c>
      <c r="D54" s="37">
        <v>0</v>
      </c>
      <c r="E54" s="33">
        <v>0</v>
      </c>
      <c r="F54" s="38" t="s">
        <v>11</v>
      </c>
    </row>
    <row r="55" spans="1:6" ht="87.75" customHeight="1">
      <c r="A55" s="26" t="s">
        <v>375</v>
      </c>
      <c r="B55" s="22" t="str">
        <f>HYPERLINK("https://scholar.google.com.br/scholar?q=Follow-the-Sun%3A+Um+Processo+para+Minimizar+as+Dificuldades+de+Projetos+que+Adotam+esta+Estrat%C3%A9gia&amp;btnG=&amp;hl=es&amp;as_sdt=0%2C5&amp;as_vis=1"," Follow-the-Sun: Um Processo para Minimizar as Dificuldades de Projetos que Adotam esta Estratégia")</f>
        <v> Follow-the-Sun: Um Processo para Minimizar as Dificuldades de Projetos que Adotam esta Estratégia</v>
      </c>
      <c r="C55" s="32">
        <v>2011</v>
      </c>
      <c r="D55" s="39">
        <v>0</v>
      </c>
      <c r="E55" s="33">
        <v>0</v>
      </c>
      <c r="F55" s="34" t="s">
        <v>11</v>
      </c>
    </row>
    <row r="56" spans="1:6" ht="87.75" customHeight="1">
      <c r="A56" s="26" t="s">
        <v>376</v>
      </c>
      <c r="B56" s="22" t="str">
        <f>HYPERLINK("https://scholar.google.com.br/scholar?q=ReuseECOS%3A+An+Approach+to+Support+Global+Software+Development+through+Software+Ecosystems&amp;btnG=&amp;hl=es&amp;as_sdt=0%2C5&amp;as_vis=1","ReuseECOS: An Approach to Support Global Software Development through Software Ecosystems")</f>
        <v>ReuseECOS: An Approach to Support Global Software Development through Software Ecosystems</v>
      </c>
      <c r="C56" s="32">
        <v>2012</v>
      </c>
      <c r="D56" s="32">
        <v>18</v>
      </c>
      <c r="E56" s="33">
        <v>3</v>
      </c>
      <c r="F56" s="34">
        <f t="shared" ref="F56:F62" si="3">D56+E56</f>
        <v>21</v>
      </c>
    </row>
    <row r="57" spans="1:6" ht="87.75" customHeight="1">
      <c r="A57" s="26" t="s">
        <v>377</v>
      </c>
      <c r="B57" s="22" t="str">
        <f>HYPERLINK("https://scholar.google.com.br/scholar?q=Elicitation+of+Communication+Inherent+Risks+in+Distributed+Software+Development&amp;btnG=&amp;hl=es&amp;as_sdt=0%2C5&amp;as_vis=1","Elicitation of Communication Inherent Risks in Distributed Software Development. ")</f>
        <v>Elicitation of Communication Inherent Risks in Distributed Software Development. </v>
      </c>
      <c r="C57" s="32">
        <v>2012</v>
      </c>
      <c r="D57" s="32">
        <v>7</v>
      </c>
      <c r="E57" s="33">
        <v>1</v>
      </c>
      <c r="F57" s="34">
        <f t="shared" si="3"/>
        <v>8</v>
      </c>
    </row>
    <row r="58" spans="1:6" ht="87.75" customHeight="1">
      <c r="A58" s="26" t="s">
        <v>378</v>
      </c>
      <c r="B58" s="22" t="str">
        <f>HYPERLINK("https://scholar.google.com.br/scholar?q=Knowledge+and+Contextual+Information+Management+in+Global+Software+Development%3A+Challenges+and+Perspectives&amp;btnG=&amp;hl=es&amp;as_sdt=0%2C5&amp;as_vis=1"," Knowledge and Contextual Information Management in Global Software Development: Challenges and Perspectives")</f>
        <v> Knowledge and Contextual Information Management in Global Software Development: Challenges and Perspectives</v>
      </c>
      <c r="C58" s="32">
        <v>2012</v>
      </c>
      <c r="D58" s="32">
        <v>4</v>
      </c>
      <c r="E58" s="33">
        <v>1</v>
      </c>
      <c r="F58" s="34">
        <f t="shared" si="3"/>
        <v>5</v>
      </c>
    </row>
    <row r="59" spans="1:6" ht="87.75" customHeight="1">
      <c r="A59" s="26" t="s">
        <v>67</v>
      </c>
      <c r="B59" s="22" t="str">
        <f>HYPERLINK("https://scholar.google.com.br/scholar?q=Ontologies+supporting+the+Distributed+Software+Development%3A+a+Systematic+Literature+Review&amp;btnG=&amp;hl=es&amp;as_sdt=0%2C5&amp;as_vis=1","Ontologies supporting the Distributed Software Development: a Systematic Literature Review.")</f>
        <v>Ontologies supporting the Distributed Software Development: a Systematic Literature Review.</v>
      </c>
      <c r="C59" s="32">
        <v>2012</v>
      </c>
      <c r="D59" s="32">
        <v>1</v>
      </c>
      <c r="E59" s="33">
        <v>0</v>
      </c>
      <c r="F59" s="34">
        <f t="shared" si="3"/>
        <v>1</v>
      </c>
    </row>
    <row r="60" spans="1:6" ht="87.75" customHeight="1">
      <c r="A60" s="26" t="s">
        <v>69</v>
      </c>
      <c r="B60" s="21" t="str">
        <f>HYPERLINK("https://scholar.google.com.br/scholar?q=Motivational+Factors+for+Distributed+Software+Development+Teams&amp;btnG=&amp;hl=es&amp;as_sdt=0%2C5&amp;as_vis=1"," Motivational Factors for Distributed Software Development Teams")</f>
        <v> Motivational Factors for Distributed Software Development Teams</v>
      </c>
      <c r="C60" s="32">
        <v>2012</v>
      </c>
      <c r="D60" s="32">
        <v>1</v>
      </c>
      <c r="E60" s="33">
        <v>0</v>
      </c>
      <c r="F60" s="34">
        <f t="shared" si="3"/>
        <v>1</v>
      </c>
    </row>
    <row r="61" spans="1:6" ht="87.75" customHeight="1">
      <c r="A61" s="25" t="s">
        <v>72</v>
      </c>
      <c r="B61" s="22" t="str">
        <f>HYPERLINK("https://scholar.google.com.br/scholar?q=Simulated+co-location+in+distributed+software+development%3A+An+experience+report&amp;btnG=&amp;hl=es&amp;as_sdt=0%2C5&amp;as_vis=1","Simulated co-location in distributed software development: An experience report. ")</f>
        <v>Simulated co-location in distributed software development: An experience report. </v>
      </c>
      <c r="C61" s="32">
        <v>2012</v>
      </c>
      <c r="D61" s="32">
        <v>1</v>
      </c>
      <c r="E61" s="33">
        <v>0</v>
      </c>
      <c r="F61" s="34">
        <f t="shared" si="3"/>
        <v>1</v>
      </c>
    </row>
    <row r="62" spans="1:6" ht="87.75" customHeight="1">
      <c r="A62" s="25" t="s">
        <v>100</v>
      </c>
      <c r="B62" s="23" t="str">
        <f>HYPERLINK("https://scholar.google.com.br/scholar?q=ELEMENTOS+QUE+IMPACTAM+O+PLANEJAMENTO+DE+TESTES+EM+AMBIENTES+DE+DESENVOLVIMENTO+DISTRIBU%C3%8DDO+NO+CONTEXTO+DE+ECOSSISTEMAS+DE+SOFTWARE&amp;btnG=&amp;hl=pt-BR&amp;as_sdt=0%2C5","ELEMENTOS QUE IMPACTAM O PLANEJAMENTO DE TESTES EM AMBIENTES DE DESENVOLVIMENTO DISTRIBUÍDO NO CONTEXTO DE ECOSSISTEMAS DE SOFTWARE")</f>
        <v>ELEMENTOS QUE IMPACTAM O PLANEJAMENTO DE TESTES EM AMBIENTES DE DESENVOLVIMENTO DISTRIBUÍDO NO CONTEXTO DE ECOSSISTEMAS DE SOFTWARE</v>
      </c>
      <c r="C62" s="32">
        <v>2013</v>
      </c>
      <c r="D62" s="33">
        <v>1</v>
      </c>
      <c r="E62" s="33">
        <v>1</v>
      </c>
      <c r="F62" s="34">
        <f t="shared" si="3"/>
        <v>2</v>
      </c>
    </row>
    <row r="63" spans="1:6" ht="87.75" customHeight="1">
      <c r="A63" s="25" t="s">
        <v>77</v>
      </c>
      <c r="B63" s="36" t="str">
        <f>HYPERLINK("https://scholar.google.com.br/scholar?cluster=6350732011697116285&amp;hl=en&amp;as_sdt=0,5&amp;sciodt=0,5","ANALYSING REQUIREMENTS NEGOTIATION IN SOFTWARE ECOSYSTEMS WITH MULTI-AGENT TECHNIQUES")</f>
        <v>ANALYSING REQUIREMENTS NEGOTIATION IN SOFTWARE ECOSYSTEMS WITH MULTI-AGENT TECHNIQUES</v>
      </c>
      <c r="C63" s="32">
        <v>2013</v>
      </c>
      <c r="D63" s="33">
        <v>1</v>
      </c>
      <c r="E63" s="33">
        <v>1</v>
      </c>
      <c r="F63" s="34">
        <v>2</v>
      </c>
    </row>
    <row r="64" spans="1:6" ht="87.75" customHeight="1">
      <c r="A64" s="25" t="s">
        <v>73</v>
      </c>
      <c r="B64" s="24" t="str">
        <f>HYPERLINK("https://scholar.google.com.br/scholar?cluster=1249745908985864441&amp;hl=pt-BR&amp;as_sdt=0,5","AN EMPIRICAL STUDY ABOUT TESTING IN A DISTRIBUTED SOFTWARE PROJECT")</f>
        <v>AN EMPIRICAL STUDY ABOUT TESTING IN A DISTRIBUTED SOFTWARE PROJECT</v>
      </c>
      <c r="C64" s="32">
        <v>2013</v>
      </c>
      <c r="D64" s="39">
        <v>0</v>
      </c>
      <c r="E64" s="33">
        <v>0</v>
      </c>
      <c r="F64" s="34">
        <f>D64+E64</f>
        <v>0</v>
      </c>
    </row>
    <row r="65" spans="1:6" ht="87.75" customHeight="1">
      <c r="A65" s="25" t="s">
        <v>74</v>
      </c>
      <c r="B65" s="23" t="str">
        <f>HYPERLINK("https://scholar.google.com.br/scholar?hl=pt-BR&amp;q=COLLABCODE+-+FERRAMENTA+PARA+APOIO+AO+DESENVOLVIMENTO+DISTRIBU%C3%8DDO+DE+SOFTWARE&amp;btnG=&amp;lr=","COLLABCODE - FERRAMENTA PARA APOIO AO DESENVOLVIMENTO DISTRIBUÍDO DE SOFTWARE")</f>
        <v>COLLABCODE - FERRAMENTA PARA APOIO AO DESENVOLVIMENTO DISTRIBUÍDO DE SOFTWARE</v>
      </c>
      <c r="C65" s="32">
        <v>2013</v>
      </c>
      <c r="D65" s="39">
        <v>0</v>
      </c>
      <c r="E65" s="33">
        <v>0</v>
      </c>
      <c r="F65" s="34">
        <f>D65+E65</f>
        <v>0</v>
      </c>
    </row>
    <row r="66" spans="1:6" ht="87.75" customHeight="1">
      <c r="A66" s="25" t="s">
        <v>75</v>
      </c>
      <c r="B66" s="23" t="str">
        <f>HYPERLINK("https://scholar.google.com.br/scholar?cluster=11600842057267550178&amp;hl=pt-BR&amp;as_sdt=0,5","DESAFIOS NA SISTEMATIZAÇÃO DAS EVIDÊNCIAS EMPÍRICAS EM DESENVOLVIMENTO DISTRIBUÍDO DE SOFTWARE")</f>
        <v>DESAFIOS NA SISTEMATIZAÇÃO DAS EVIDÊNCIAS EMPÍRICAS EM DESENVOLVIMENTO DISTRIBUÍDO DE SOFTWARE</v>
      </c>
      <c r="C66" s="32">
        <v>2013</v>
      </c>
      <c r="D66" s="39">
        <v>0</v>
      </c>
      <c r="E66" s="33">
        <v>0</v>
      </c>
      <c r="F66" s="34">
        <f>D66+E66</f>
        <v>0</v>
      </c>
    </row>
    <row r="67" spans="1:6" ht="87.75" customHeight="1">
      <c r="A67" s="25" t="s">
        <v>76</v>
      </c>
      <c r="B67" s="23" t="str">
        <f>HYPERLINK("https://scholar.google.com.br/scholar?hl=pt-BR&amp;q=%22A+UTILIZA%C3%87%C3%83O+DA+PROGRAMA%C3%87%C3%83O+EM+PAR+DISTRIBU%C3%8DDA+NO+ENSINO+DE+PROGRAMA%C3%87%C3%83O&amp;btnG=&amp;lr=","A UTILIZAÇÃO DA PROGRAMAÇÃO EM PAR DISTRIBUÍDA NO ENSINO DE PROGRAMAÇÃO")</f>
        <v>A UTILIZAÇÃO DA PROGRAMAÇÃO EM PAR DISTRIBUÍDA NO ENSINO DE PROGRAMAÇÃO</v>
      </c>
      <c r="C67" s="32">
        <v>2013</v>
      </c>
      <c r="D67" s="39">
        <v>0</v>
      </c>
      <c r="E67" s="33">
        <v>0</v>
      </c>
      <c r="F67" s="34">
        <f>D67+E67</f>
        <v>0</v>
      </c>
    </row>
    <row r="68" spans="1:6" ht="87.75" customHeight="1">
      <c r="A68" s="25" t="s">
        <v>78</v>
      </c>
      <c r="B68" s="36" t="str">
        <f>HYPERLINK("https://scholar.google.com.br/scholar?cluster=756820065025831245&amp;hl=en&amp;as_sdt=0,5","ANALISANDO AS CONTRIBUIÇÕES DE DESENVOLVEDORES BRASILEIROS EM PROJETOS DISTRIBUÍDOS DE SOFTWARE OPEN-SOURCE UM ESTUDO INICIAL")</f>
        <v>ANALISANDO AS CONTRIBUIÇÕES DE DESENVOLVEDORES BRASILEIROS EM PROJETOS DISTRIBUÍDOS DE SOFTWARE OPEN-SOURCE UM ESTUDO INICIAL</v>
      </c>
      <c r="C68" s="32">
        <v>2013</v>
      </c>
      <c r="D68" s="39">
        <v>0</v>
      </c>
      <c r="E68" s="33">
        <v>0</v>
      </c>
      <c r="F68" s="34" t="s">
        <v>11</v>
      </c>
    </row>
    <row r="69" spans="1:6" ht="87.75" customHeight="1">
      <c r="A69" s="25" t="s">
        <v>79</v>
      </c>
      <c r="B69" s="23" t="str">
        <f>HYPERLINK("https://scholar.google.com.br/scholar?q=REFLEX%C3%95ES+SOBRE+COMUNICA%C3%87%C3%83O+NO+DESENVOLVIMENTO+DISTRIBU%C3%8DDO+NO+CONTEXTO+DE+ECOSSISTEMAS+DE+SOFTWARE&amp;btnG=&amp;hl=pt-BR&amp;as_sdt=0%2C5","REFLEXÕES SOBRE COMUNICAÇÃO NO DESENVOLVIMENTO DISTRIBUÍDO NO CONTEXTO DE ECOSSISTEMAS DE SOFTWARE")</f>
        <v>REFLEXÕES SOBRE COMUNICAÇÃO NO DESENVOLVIMENTO DISTRIBUÍDO NO CONTEXTO DE ECOSSISTEMAS DE SOFTWARE</v>
      </c>
      <c r="C69" s="32">
        <v>2013</v>
      </c>
      <c r="D69" s="52">
        <v>1</v>
      </c>
      <c r="E69" s="33">
        <v>1</v>
      </c>
      <c r="F69" s="34">
        <f t="shared" ref="F69:F75" si="4">D69+E69</f>
        <v>2</v>
      </c>
    </row>
    <row r="70" spans="1:6" ht="87.75" customHeight="1">
      <c r="A70" s="25" t="s">
        <v>83</v>
      </c>
      <c r="B70" s="23" t="str">
        <f>HYPERLINK("https://scholar.google.com.br/scholar?q=FERRAMENTAS+WEB+2.0+COMO+SUPORTE+A+COMUNICA%C3%87%C3%83O+EM+DESENVOLVIMENTO+DISTRIBU%C3%8DDO+DE+SOFTWARE&amp;btnG=&amp;hl=pt-BR&amp;as_sdt=0%2C5","FERRAMENTAS WEB 2.0 COMO SUPORTE A COMUNICAÇÃO EM DESENVOLVIMENTO DISTRIBUÍDO DE SOFTWARE")</f>
        <v>FERRAMENTAS WEB 2.0 COMO SUPORTE A COMUNICAÇÃO EM DESENVOLVIMENTO DISTRIBUÍDO DE SOFTWARE</v>
      </c>
      <c r="C70" s="32">
        <v>2013</v>
      </c>
      <c r="D70" s="52">
        <v>1</v>
      </c>
      <c r="E70" s="33">
        <v>0</v>
      </c>
      <c r="F70" s="34">
        <f t="shared" si="4"/>
        <v>1</v>
      </c>
    </row>
    <row r="71" spans="1:6" ht="87.75" customHeight="1">
      <c r="A71" s="25" t="s">
        <v>84</v>
      </c>
      <c r="B71" s="23" t="str">
        <f>HYPERLINK("https://scholar.google.com.br/scholar?q=DESENVOLVENDO+UM+MODELO+DE+MATURIDADE+PARA+COMUNICA%C3%87%C3%83O+EM+DESENVOLVIMENTO+DISTRIBU%C3%8DDO+DE+SOFTWARE&amp;btnG=&amp;hl=pt-BR&amp;as_sdt=0%2C5","DESENVOLVENDO UM MODELO DE MATURIDADE PARA COMUNICAÇÃO EM DESENVOLVIMENTO DISTRIBUÍDO DE SOFTWARE")</f>
        <v>DESENVOLVENDO UM MODELO DE MATURIDADE PARA COMUNICAÇÃO EM DESENVOLVIMENTO DISTRIBUÍDO DE SOFTWARE</v>
      </c>
      <c r="C71" s="32">
        <v>2013</v>
      </c>
      <c r="D71" s="39">
        <v>0</v>
      </c>
      <c r="E71" s="33">
        <v>0</v>
      </c>
      <c r="F71" s="34">
        <f t="shared" si="4"/>
        <v>0</v>
      </c>
    </row>
    <row r="72" spans="1:6" ht="87.75" customHeight="1">
      <c r="A72" s="25" t="s">
        <v>85</v>
      </c>
      <c r="B72" s="23" t="str">
        <f>HYPERLINK("https://scholar.google.com.br/scholar?q=DESAFIOS+NO+GERENCIAMENTO+DE+CONFLITOS+EM+PROJETOS+DE+DESENVOLVIMENTO+DISTRIBU%C3%8DDO+DE+SOFTWARE&amp;btnG=&amp;hl=pt-BR&amp;as_sdt=0%2C5","DESAFIOS NO GERENCIAMENTO DE CONFLITOS EM PROJETOS DE DESENVOLVIMENTO DISTRIBUÍDO DE SOFTWARE")</f>
        <v>DESAFIOS NO GERENCIAMENTO DE CONFLITOS EM PROJETOS DE DESENVOLVIMENTO DISTRIBUÍDO DE SOFTWARE</v>
      </c>
      <c r="C72" s="32">
        <v>2013</v>
      </c>
      <c r="D72" s="39">
        <v>0</v>
      </c>
      <c r="E72" s="33">
        <v>0</v>
      </c>
      <c r="F72" s="34">
        <f t="shared" si="4"/>
        <v>0</v>
      </c>
    </row>
    <row r="73" spans="1:6" ht="87.75" customHeight="1">
      <c r="A73" s="25" t="s">
        <v>87</v>
      </c>
      <c r="B73" s="24" t="str">
        <f>HYPERLINK("https://scholar.google.com.br/scholar?q=DESENVOLVIMENTO+DISTRIBU%C3%8DDO+DE+SOFTWARE+COM+SCRUM&amp;btnG=&amp;hl=pt-BR&amp;as_sdt=0%2C5","DESENVOLVIMENTO DISTRIBUÍDO DE SOFTWARE COM SCRUM")</f>
        <v>DESENVOLVIMENTO DISTRIBUÍDO DE SOFTWARE COM SCRUM</v>
      </c>
      <c r="C73" s="32">
        <v>2013</v>
      </c>
      <c r="D73" s="39">
        <v>0</v>
      </c>
      <c r="E73" s="33">
        <v>0</v>
      </c>
      <c r="F73" s="34">
        <f t="shared" si="4"/>
        <v>0</v>
      </c>
    </row>
    <row r="74" spans="1:6" ht="87.75" customHeight="1">
      <c r="A74" s="25" t="s">
        <v>89</v>
      </c>
      <c r="B74" s="23" t="str">
        <f>HYPERLINK("https://scholar.google.com.br/scholar?q=PROPOSTA+DE+CEN%C3%81RIOS+GEN%C3%89RICOS+PARA+DEFINI%C3%87%C3%83O+DA+COMUNICA%C3%87%C3%83O+EM+S%C3%8DTIOS+DE+DESENVOLVIMENTO+DISTRIBU%C3%8DDO+DE+SOFTWARE&amp;btnG=&amp;hl=pt-BR&amp;as_sdt=0%2C5","PROPOSTA DE CENÁRIOS GENÉRICOS PARA DEFINIÇÃO DA COMUNICAÇÃO EM SÍTIOS DE DESENVOLVIMENTO DISTRIBUÍDO DE SOFTWARE")</f>
        <v>PROPOSTA DE CENÁRIOS GENÉRICOS PARA DEFINIÇÃO DA COMUNICAÇÃO EM SÍTIOS DE DESENVOLVIMENTO DISTRIBUÍDO DE SOFTWARE</v>
      </c>
      <c r="C74" s="32">
        <v>2013</v>
      </c>
      <c r="D74" s="39">
        <v>0</v>
      </c>
      <c r="E74" s="33">
        <v>0</v>
      </c>
      <c r="F74" s="34">
        <f t="shared" si="4"/>
        <v>0</v>
      </c>
    </row>
    <row r="75" spans="1:6" ht="87.75" customHeight="1">
      <c r="A75" s="25" t="s">
        <v>94</v>
      </c>
      <c r="B75" s="23" t="str">
        <f>HYPERLINK("https://scholar.google.com.br/scholar?q=DESENVOLVIMENTO+DE+HANDOFFS+EM+PROJETOS+DE+SOFTWARE+FOLLOW-THE-SUN%3A+UM+RELATO+DE+EXPERI%C3%8ANCIA&amp;btnG=&amp;hl=pt-BR&amp;as_sdt=0%2C5","DESENVOLVIMENTO DE HANDOFFS EM PROJETOS DE SOFTWARE FOLLOW-THE-SUN: UM RELATO DE EXPERIÊNCIA")</f>
        <v>DESENVOLVIMENTO DE HANDOFFS EM PROJETOS DE SOFTWARE FOLLOW-THE-SUN: UM RELATO DE EXPERIÊNCIA</v>
      </c>
      <c r="C75" s="32">
        <v>2013</v>
      </c>
      <c r="D75" s="39">
        <v>0</v>
      </c>
      <c r="E75" s="33">
        <v>0</v>
      </c>
      <c r="F75" s="34">
        <f t="shared" si="4"/>
        <v>0</v>
      </c>
    </row>
    <row r="76" spans="1:6" ht="87.75" customHeight="1">
      <c r="A76" s="25" t="s">
        <v>99</v>
      </c>
      <c r="B76" s="36" t="str">
        <f>HYPERLINK("http://www.lbd.dcc.ufmg.br/bdbcomp/servlet/Trabalho?id=22903","EXPERIÊNCIA EM DESENVOLVIMENTO DISTRIBUÍDO DE SOFTWARE (DDS) EM PROCESSO ITERATIVO DE DESENVOLVIMENTO")</f>
        <v>EXPERIÊNCIA EM DESENVOLVIMENTO DISTRIBUÍDO DE SOFTWARE (DDS) EM PROCESSO ITERATIVO DE DESENVOLVIMENTO</v>
      </c>
      <c r="C76" s="32">
        <v>2013</v>
      </c>
      <c r="D76" s="40">
        <v>0</v>
      </c>
      <c r="E76" s="33">
        <v>0</v>
      </c>
      <c r="F76" s="34" t="s">
        <v>11</v>
      </c>
    </row>
    <row r="77" spans="1:6" ht="87.75" customHeight="1">
      <c r="A77" s="25" t="s">
        <v>106</v>
      </c>
      <c r="B77" s="36" t="str">
        <f>HYPERLINK("http://www.lbd.dcc.ufmg.br/bdbcomp/servlet/Trabalho?id=22907","PLANEJAMENTO DE TESTE NO DESENVOLVIMENTO DISTRIBUÍDO DE SOFTWARE: UMA REVISÃO SISTEMÁTICA SOBRE FERRAMENTAS")</f>
        <v>PLANEJAMENTO DE TESTE NO DESENVOLVIMENTO DISTRIBUÍDO DE SOFTWARE: UMA REVISÃO SISTEMÁTICA SOBRE FERRAMENTAS</v>
      </c>
      <c r="C77" s="32">
        <v>2013</v>
      </c>
      <c r="D77" s="40">
        <v>0</v>
      </c>
      <c r="E77" s="33">
        <v>0</v>
      </c>
      <c r="F77" s="34" t="s">
        <v>11</v>
      </c>
    </row>
    <row r="78" spans="1:6" ht="87.75" customHeight="1">
      <c r="A78" s="25" t="s">
        <v>107</v>
      </c>
      <c r="B78" s="23" t="str">
        <f>HYPERLINK("https://scholar.google.com.br/scholar?q=USO+DE+MAPAS+MENTAIS+COMO+FERRAMENTA+AUXILIAR+AO+DESENVOLVIMENTO+DISTRIBU%C3%8DDO+DE+SOFTWAR&amp;btnG=&amp;hl=pt-BR&amp;as_sdt=0%2C5","USO DE MAPAS MENTAIS COMO FERRAMENTA AUXILIAR AO DESENVOLVIMENTO DISTRIBUÍDO DE SOFTWARE")</f>
        <v>USO DE MAPAS MENTAIS COMO FERRAMENTA AUXILIAR AO DESENVOLVIMENTO DISTRIBUÍDO DE SOFTWARE</v>
      </c>
      <c r="C78" s="32">
        <v>2013</v>
      </c>
      <c r="D78" s="40">
        <v>0</v>
      </c>
      <c r="E78" s="33">
        <v>0</v>
      </c>
      <c r="F78" s="34" t="s">
        <v>11</v>
      </c>
    </row>
    <row r="79" spans="1:6" ht="87.75" customHeight="1">
      <c r="A79" s="25" t="s">
        <v>114</v>
      </c>
      <c r="B79" s="21" t="str">
        <f>HYPERLINK("https://scholar.google.com.br/scholar?hl=es&amp;as_sdt=0,5&amp;q=Towards+the+Dynamic+Evolution+of+Context-based+Systems-of+Systems","Towards the Dynamic Evolution of Context-based Systems-ofSystems")</f>
        <v>Towards the Dynamic Evolution of Context-based Systems-ofSystems</v>
      </c>
      <c r="C79" s="32">
        <v>2014</v>
      </c>
      <c r="D79" s="32">
        <v>1</v>
      </c>
      <c r="E79" s="33">
        <v>2</v>
      </c>
      <c r="F79" s="34">
        <f>D79+E79</f>
        <v>3</v>
      </c>
    </row>
    <row r="80" spans="1:6" ht="87.75" customHeight="1">
      <c r="A80" s="25" t="s">
        <v>109</v>
      </c>
      <c r="B80" s="21" t="str">
        <f>HYPERLINK("https://scholar.google.com.br/scholar?q=Towards+the+Evaluation+of+System-of-Systems+Software+Architectures&amp;btnG=&amp;hl=es&amp;as_sdt=0%2C5&amp;as_ylo=2014&amp;as_vis=1","Towards the Evaluation of System-of-Systems Software Architectures")</f>
        <v>Towards the Evaluation of System-of-Systems Software Architectures</v>
      </c>
      <c r="C80" s="32">
        <v>2014</v>
      </c>
      <c r="D80" s="52">
        <v>1</v>
      </c>
      <c r="E80" s="33">
        <v>3</v>
      </c>
      <c r="F80" s="34">
        <f>D80+E80</f>
        <v>4</v>
      </c>
    </row>
    <row r="81" spans="1:6" ht="87.75" customHeight="1">
      <c r="A81" s="25" t="s">
        <v>115</v>
      </c>
      <c r="B81" s="22" t="str">
        <f>HYPERLINK("https://scholar.google.com.br/scholar?q=Um+Framework+para+Gest%C3%A3o+de+Riscos+em+Projetos+de+Desenvolvimento+Distribu%C3%ADdo+de+Software&amp;btnG=&amp;hl=es&amp;as_sdt=0%2C5&amp;as_ylo=2014","Um Framework para Gerenciamento de Riscos em Projetos de Desenvolvimento Distribuído de Software")</f>
        <v>Um Framework para Gerenciamento de Riscos em Projetos de Desenvolvimento Distribuído de Software</v>
      </c>
      <c r="C81" s="32">
        <v>2014</v>
      </c>
      <c r="D81" s="39">
        <v>0</v>
      </c>
      <c r="E81" s="33">
        <v>0</v>
      </c>
      <c r="F81" s="34" t="s">
        <v>11</v>
      </c>
    </row>
    <row r="82" spans="1:6" ht="87.75" customHeight="1">
      <c r="A82" s="25" t="s">
        <v>117</v>
      </c>
      <c r="B82" s="21" t="str">
        <f>HYPERLINK("https://scholar.google.com.br/scholar?q=Ecosystem+Business+Models+and+Architectures+WDES+McGregor+Silva+Amorim&amp;btnG=&amp;hl=es&amp;as_sdt=0%2C5&amp;as_ylo=2014","Ecosystem Business Models and Architectures")</f>
        <v>Ecosystem Business Models and Architectures</v>
      </c>
      <c r="C82" s="32">
        <v>2014</v>
      </c>
      <c r="D82" s="39">
        <v>1</v>
      </c>
      <c r="E82" s="33">
        <v>2</v>
      </c>
      <c r="F82" s="34">
        <f>D82+E82</f>
        <v>3</v>
      </c>
    </row>
    <row r="83" spans="1:6" ht="87.75" customHeight="1">
      <c r="A83" s="25" t="s">
        <v>118</v>
      </c>
      <c r="B83" s="21" t="str">
        <f>HYPERLINK("https://scholar.google.com.br/scholar?q=Qualidade+em+Ecossistemas+de+Software%3A+Desafios+e+Oportunidades+de+Pesquisa&amp;btnG=&amp;hl=es&amp;as_sdt=0%2C5&amp;as_ylo=2014","Qualidade em Ecossistemas de Software: Desafios e Oportunidades de Pesquisa")</f>
        <v>Qualidade em Ecossistemas de Software: Desafios e Oportunidades de Pesquisa</v>
      </c>
      <c r="C83" s="32">
        <v>2014</v>
      </c>
      <c r="D83" s="39">
        <v>3</v>
      </c>
      <c r="E83" s="33">
        <v>2</v>
      </c>
      <c r="F83" s="34">
        <f>D83+E83</f>
        <v>5</v>
      </c>
    </row>
    <row r="84" spans="1:6" ht="87.75" customHeight="1">
      <c r="A84" s="25" t="s">
        <v>120</v>
      </c>
      <c r="B84" s="21" t="str">
        <f>HYPERLINK("https://scholar.google.com.br/scholar?q=On+the+Relations+between+Systems-of-Systems+and+Software+Ecosystems&amp;btnG=&amp;hl=es&amp;as_sdt=0%2C5&amp;as_ylo=2014","On the Relations between Systems-of-Systems and Software Ecosystems")</f>
        <v>On the Relations between Systems-of-Systems and Software Ecosystems</v>
      </c>
      <c r="C84" s="32">
        <v>2014</v>
      </c>
      <c r="D84" s="39">
        <v>0</v>
      </c>
      <c r="E84" s="33">
        <v>2</v>
      </c>
      <c r="F84" s="34">
        <f>D84+E84</f>
        <v>2</v>
      </c>
    </row>
    <row r="85" spans="1:6" ht="87.75" customHeight="1">
      <c r="A85" s="25" t="s">
        <v>125</v>
      </c>
      <c r="B85" s="22" t="str">
        <f>HYPERLINK("https://scholar.google.com.br/scholar?q=On+the+Identification+of+Factors+that+Promote+High-Performance+Projects+in+Distributed+Development+WDES&amp;btnG=&amp;hl=es&amp;as_sdt=0%2C5&amp;as_ylo=2014","On the Identification of Factors that Promote High-Performance Projects in Distributed Development")</f>
        <v>On the Identification of Factors that Promote High-Performance Projects in Distributed Development</v>
      </c>
      <c r="C85" s="32">
        <v>2014</v>
      </c>
      <c r="D85" s="39">
        <v>0</v>
      </c>
      <c r="E85" s="33">
        <v>0</v>
      </c>
      <c r="F85" s="34" t="s">
        <v>11</v>
      </c>
    </row>
    <row r="86" spans="1:6" ht="87.75" customHeight="1">
      <c r="A86" s="29" t="s">
        <v>126</v>
      </c>
      <c r="B86" s="30" t="str">
        <f>HYPERLINK("https://scholar.google.com.br/scholar?q=SECOView%3A+Uma+Abordagem+Baseada+em+Vis%C3%B5es+para+Apoiar+a+Governan%C3%A7a+de+Ecossistemas+de+Software&amp;btnG=&amp;hl=es&amp;as_sdt=0%2C5&amp;as_ylo=2014","SECOView: Uma Abordagem Baseada em Visões para Apoiar a Governança de Ecossistemas de Software")</f>
        <v>SECOView: Uma Abordagem Baseada em Visões para Apoiar a Governança de Ecossistemas de Software</v>
      </c>
      <c r="C86" s="41">
        <v>2014</v>
      </c>
      <c r="D86" s="42">
        <v>0</v>
      </c>
      <c r="E86" s="43">
        <v>0</v>
      </c>
      <c r="F86" s="44" t="s">
        <v>11</v>
      </c>
    </row>
    <row r="87" spans="1:6" ht="87.75" customHeight="1">
      <c r="A87" s="29" t="s">
        <v>402</v>
      </c>
      <c r="B87" s="50" t="s">
        <v>384</v>
      </c>
      <c r="C87" s="41">
        <v>2015</v>
      </c>
      <c r="D87" s="51">
        <v>0</v>
      </c>
      <c r="E87" s="43">
        <v>0</v>
      </c>
      <c r="F87" s="44"/>
    </row>
    <row r="88" spans="1:6" ht="87.75" customHeight="1">
      <c r="A88" s="53" t="s">
        <v>403</v>
      </c>
      <c r="B88" s="50" t="s">
        <v>385</v>
      </c>
      <c r="C88" s="54">
        <v>2015</v>
      </c>
      <c r="D88" s="51">
        <v>0</v>
      </c>
      <c r="E88" s="51">
        <v>0</v>
      </c>
      <c r="F88" s="55"/>
    </row>
    <row r="89" spans="1:6" ht="87.75" customHeight="1">
      <c r="A89" s="53" t="s">
        <v>404</v>
      </c>
      <c r="B89" s="50" t="s">
        <v>386</v>
      </c>
      <c r="C89" s="54">
        <v>2015</v>
      </c>
      <c r="D89" s="51">
        <v>0</v>
      </c>
      <c r="E89" s="51">
        <v>0</v>
      </c>
      <c r="F89" s="55"/>
    </row>
    <row r="90" spans="1:6" ht="87.75" customHeight="1">
      <c r="A90" s="53" t="s">
        <v>405</v>
      </c>
      <c r="B90" s="50" t="s">
        <v>387</v>
      </c>
      <c r="C90" s="54">
        <v>2015</v>
      </c>
      <c r="D90" s="51">
        <v>0</v>
      </c>
      <c r="E90" s="51">
        <v>0</v>
      </c>
      <c r="F90" s="55"/>
    </row>
    <row r="91" spans="1:6" ht="87.75" customHeight="1">
      <c r="A91" s="53" t="s">
        <v>406</v>
      </c>
      <c r="B91" s="50" t="s">
        <v>388</v>
      </c>
      <c r="C91" s="54">
        <v>2015</v>
      </c>
      <c r="D91" s="51">
        <v>0</v>
      </c>
      <c r="E91" s="51">
        <v>0</v>
      </c>
      <c r="F91" s="55"/>
    </row>
    <row r="92" spans="1:6" ht="87.75" customHeight="1">
      <c r="A92" s="53" t="s">
        <v>407</v>
      </c>
      <c r="B92" s="50" t="s">
        <v>389</v>
      </c>
      <c r="C92" s="54">
        <v>2015</v>
      </c>
      <c r="D92" s="51">
        <v>0</v>
      </c>
      <c r="E92" s="51">
        <v>0</v>
      </c>
      <c r="F92" s="55"/>
    </row>
    <row r="93" spans="1:6" ht="87.75" customHeight="1">
      <c r="A93" s="53" t="s">
        <v>408</v>
      </c>
      <c r="B93" s="50" t="s">
        <v>390</v>
      </c>
      <c r="C93" s="54">
        <v>2015</v>
      </c>
      <c r="D93" s="51">
        <v>0</v>
      </c>
      <c r="E93" s="51">
        <v>0</v>
      </c>
      <c r="F93" s="55"/>
    </row>
    <row r="94" spans="1:6" ht="87.75" customHeight="1">
      <c r="A94" s="53" t="s">
        <v>409</v>
      </c>
      <c r="B94" s="50" t="s">
        <v>391</v>
      </c>
      <c r="C94" s="54">
        <v>2015</v>
      </c>
      <c r="D94" s="51">
        <v>0</v>
      </c>
      <c r="E94" s="51">
        <v>0</v>
      </c>
      <c r="F94" s="55"/>
    </row>
    <row r="95" spans="1:6" ht="87.75" customHeight="1">
      <c r="A95" s="53" t="s">
        <v>410</v>
      </c>
      <c r="B95" s="50" t="s">
        <v>392</v>
      </c>
      <c r="C95" s="54">
        <v>2015</v>
      </c>
      <c r="D95" s="51">
        <v>0</v>
      </c>
      <c r="E95" s="51">
        <v>0</v>
      </c>
      <c r="F95" s="55"/>
    </row>
    <row r="96" spans="1:6" ht="87.75" customHeight="1">
      <c r="A96" s="53" t="s">
        <v>411</v>
      </c>
      <c r="B96" s="50" t="s">
        <v>393</v>
      </c>
      <c r="C96" s="54">
        <v>2015</v>
      </c>
      <c r="D96" s="51">
        <v>0</v>
      </c>
      <c r="E96" s="51">
        <v>0</v>
      </c>
      <c r="F96" s="55"/>
    </row>
    <row r="97" spans="1:6" ht="87.75" customHeight="1">
      <c r="A97" s="53" t="s">
        <v>412</v>
      </c>
      <c r="B97" s="50" t="s">
        <v>394</v>
      </c>
      <c r="C97" s="54">
        <v>2015</v>
      </c>
      <c r="D97" s="51">
        <v>0</v>
      </c>
      <c r="E97" s="51">
        <v>0</v>
      </c>
      <c r="F97" s="55"/>
    </row>
    <row r="98" spans="1:6" ht="87.75" customHeight="1">
      <c r="A98" s="53" t="s">
        <v>413</v>
      </c>
      <c r="B98" s="50" t="s">
        <v>395</v>
      </c>
      <c r="C98" s="54">
        <v>2015</v>
      </c>
      <c r="D98" s="51">
        <v>0</v>
      </c>
      <c r="E98" s="51">
        <v>0</v>
      </c>
      <c r="F98" s="55"/>
    </row>
    <row r="99" spans="1:6" ht="87.75" customHeight="1">
      <c r="A99" s="53" t="s">
        <v>414</v>
      </c>
      <c r="B99" s="50" t="s">
        <v>396</v>
      </c>
      <c r="C99" s="54">
        <v>2015</v>
      </c>
      <c r="D99" s="51">
        <v>0</v>
      </c>
      <c r="E99" s="51">
        <v>0</v>
      </c>
      <c r="F99" s="55"/>
    </row>
    <row r="100" spans="1:6" ht="87.75" customHeight="1">
      <c r="A100" s="53" t="s">
        <v>415</v>
      </c>
      <c r="B100" s="50" t="s">
        <v>397</v>
      </c>
      <c r="C100" s="54">
        <v>2015</v>
      </c>
      <c r="D100" s="51">
        <v>0</v>
      </c>
      <c r="E100" s="51">
        <v>0</v>
      </c>
      <c r="F100" s="55"/>
    </row>
    <row r="101" spans="1:6" ht="87.75" customHeight="1">
      <c r="A101" s="53" t="s">
        <v>416</v>
      </c>
      <c r="B101" s="50" t="s">
        <v>398</v>
      </c>
      <c r="C101" s="54">
        <v>2015</v>
      </c>
      <c r="D101" s="51">
        <v>0</v>
      </c>
      <c r="E101" s="51">
        <v>0</v>
      </c>
      <c r="F101" s="55"/>
    </row>
    <row r="102" spans="1:6" ht="87.75" customHeight="1">
      <c r="A102" s="53" t="s">
        <v>417</v>
      </c>
      <c r="B102" s="50" t="s">
        <v>399</v>
      </c>
      <c r="C102" s="54">
        <v>2015</v>
      </c>
      <c r="D102" s="51">
        <v>0</v>
      </c>
      <c r="E102" s="51">
        <v>0</v>
      </c>
      <c r="F102" s="55"/>
    </row>
    <row r="103" spans="1:6" ht="87.75" customHeight="1">
      <c r="A103" s="53" t="s">
        <v>418</v>
      </c>
      <c r="B103" s="50" t="s">
        <v>400</v>
      </c>
      <c r="C103" s="54">
        <v>2015</v>
      </c>
      <c r="D103" s="51">
        <v>0</v>
      </c>
      <c r="E103" s="51">
        <v>0</v>
      </c>
      <c r="F103" s="55"/>
    </row>
    <row r="104" spans="1:6" ht="87.75" customHeight="1">
      <c r="A104" s="53" t="s">
        <v>419</v>
      </c>
      <c r="B104" s="50" t="s">
        <v>401</v>
      </c>
      <c r="C104" s="54">
        <v>2015</v>
      </c>
      <c r="D104" s="51">
        <v>0</v>
      </c>
      <c r="E104" s="51">
        <v>0</v>
      </c>
      <c r="F104" s="55"/>
    </row>
  </sheetData>
  <hyperlinks>
    <hyperlink ref="B6" r:id="rId1" display="https://scholar.google.com.br/scholar?q=Theseus:+Tool+Support+for+Managers+of+Distributed+Software+Development+Projects&amp;hl=es&amp;as_sdt=0&amp;as_vis=1&amp;oi=scholart&amp;sa=X&amp;ved=0CDgQgQMwAGoVChMI2__AoNDqxgIVyh0-Ch2zCQee"/>
    <hyperlink ref="B2" r:id="rId2" display="https://scholar.google.com.br/scholar?q=Um+Ambiente+de+Desenvolvimento+Distribu%C3%ADdo+de+Software-DiSEN&amp;btnG=&amp;hl=es&amp;as_sdt=0%2C5&amp;as_vis=1"/>
    <hyperlink ref="B3" r:id="rId3" display="https://scholar.google.com.br/scholar?q=%C2%A0Ado%C3%A7%C3%A3o+de+SCRUM+em+uma+F%C3%A1brica+de+Desenvolvimento+Distribu%C3%ADdo+de+Software&amp;btnG=&amp;hl=es&amp;as_sdt=0%2C5&amp;as_vis=1"/>
    <hyperlink ref="B5" r:id="rId4" display="https://scholar.google.com.br/scholar?q=Pol%C3%ADticas+de+Controle+de+Concorr%C3%AAncia+no+Desenvolvimento+Distribu%C3%ADdo+de+Software&amp;btnG=&amp;hl=es&amp;as_sdt=0%2C5&amp;as_vis=1"/>
    <hyperlink ref="B8" r:id="rId5" display="http://www.lbd.dcc.ufmg.br/bdbcomp/servlet/Trabalho?id=6897"/>
    <hyperlink ref="B9" r:id="rId6" display="https://scholar.google.com.br/scholar?cluster=16309066698293021819&amp;hl=es&amp;as_sdt=0,5&amp;as_ylo=2007&amp;as_vis=1"/>
    <hyperlink ref="B10" r:id="rId7" display="https://scholar.google.com.br/scholar?cluster=14421275492800527344&amp;hl=es&amp;as_sdt=0,5&amp;as_ylo=2007&amp;as_vis=1"/>
    <hyperlink ref="B11" r:id="rId8" display="https://scholar.google.com.br/scholar?cluster=8738334288929569669&amp;hl=es&amp;as_sdt=0,5&amp;as_ylo=2007&amp;as_yhi=2007&amp;as_vis=1"/>
    <hyperlink ref="B12" r:id="rId9" display="https://scholar.google.com.br/scholar?cluster=16099281217508739913&amp;hl=es&amp;as_sdt=0,5&amp;as_ylo=2007&amp;as_yhi=2007&amp;as_vis=1"/>
    <hyperlink ref="B7" r:id="rId10" display="https://scholar.google.com.br/scholar?q=Como+Evoluem+as+Organiza%C3%A7%C3%B5es+de+DDS+em+Ambientes+de+Internal+Offshoring%3F+Um+Estudo+Qualitativo+Preliminar&amp;btnG=&amp;hl=es&amp;as_sdt=0%2C5&amp;as_ylo=2007&amp;as_yhi=2007&amp;as_vis=1"/>
    <hyperlink ref="B4" r:id="rId11" display="https://scholar.google.com.br/scholar?q=Um+Modelo+para+o+C%C3%A1lculo+da+Dist%C3%A2ncia+Percebida+Relativa+em+Equipes+Distribu%C3%ADdas+de+Desenvolvimento+de+Software&amp;btnG=&amp;hl=es&amp;as_sdt=0%2C5&amp;as_ylo=2007&amp;as_yhi=2007&amp;as_vis=1"/>
    <hyperlink ref="B13" r:id="rId12" display="https://scholar.google.com.br/scholar?q=Towards+Distributed+Development:+MORPHOS+Process&amp;hl=es&amp;as_sdt=0,5&amp;as_vis=1"/>
    <hyperlink ref="B17" r:id="rId13" display="https://scholar.google.com.br/scholar?cluster=4159901192245290379&amp;hl=es&amp;as_sdt=0,5&amp;as_ylo=2008&amp;as_yhi=2008&amp;as_vis=1"/>
    <hyperlink ref="B18" r:id="rId14" display="https://scholar.google.com.br/scholar?q=Uma+Proposta+de+Processo+de+Manuten%C3%A7%C3%A3o+Distribu%C3%ADda&amp;btnG=&amp;hl=es&amp;as_sdt=0%2C5&amp;as_vis=1"/>
    <hyperlink ref="B16" r:id="rId15" display="https://scholar.google.com.br/scholar?q=DiSEN-SCV%3A+Uma+estrat%C3%A9gia+para+replica%C3%A7%C3%A3o+de+reposit%C3%B3rios+e+aloca%C3%A7%C3%A3o+de+artefatos&amp;btnG=&amp;hl=es&amp;as_sdt=0%2C5&amp;as_vis=1"/>
    <hyperlink ref="B19" r:id="rId16" display="https://scholar.google.com.br/scholar?cluster=3092331623885140093&amp;hl=es&amp;as_sdt=0,5&amp;as_vis=1"/>
    <hyperlink ref="B14" r:id="rId17" display="https://scholar.google.com.br/scholar?q=Um+Conjunto+de+Solu%C3%A7%C3%B5es+para+Apoiar+o+Desenvolvimento+Distribu%C3%ADdo+de+Software&amp;btnG=&amp;hl=es&amp;as_sdt=0%2C5&amp;as_vis=1"/>
    <hyperlink ref="B20" r:id="rId18" display="https://scholar.google.com.br/scholar?q=A+Distributed+Intelligent+Pair-Software+Development+Tool&amp;btnG=&amp;hl=es&amp;as_sdt=0%2C5&amp;as_vis=1"/>
    <hyperlink ref="B21" r:id="rId19" display="http://www.lbd.dcc.ufmg.br/bdbcomp/servlet/Trabalho?id=7593"/>
    <hyperlink ref="B22" r:id="rId20" display="https://scholar.google.com.br/scholar?q=Um+Relato+de+Experi%C3%AAncia+com+uma+Infra-Estrutura+para+Desenvolvimento+Distribu%C3%ADdo+Baseado+em+Componentes&amp;hl=es&amp;as_sdt=0,5&amp;as_vis=1"/>
    <hyperlink ref="B15" r:id="rId21" display="https://scholar.google.com.br/scholar?q=Visualizando+a+Evolu%C3%A7%C3%A3o+de+Software+no+Desenvolvimento+Distribu%C3%ADdo&amp;btnG=&amp;hl=es&amp;as_sdt=0%2C5&amp;as_vis=1"/>
    <hyperlink ref="B23" r:id="rId22"/>
    <hyperlink ref="B25" r:id="rId23" display="https://scholar.google.com.br/scholar?q=Uma+Experi%C3%AAncia+na+Adapta%C3%A7%C3%A3o+do+RUP+em+Pequenas+Equipes+de+Desenvolvimento+Distribu%C3%ADdo&amp;btnG=&amp;hl=es&amp;as_sdt=0%2C5&amp;as_vis=1"/>
    <hyperlink ref="B26" r:id="rId24" display="https://scholar.google.com.br/scholar?q=Collaborative+Software+Development+Process+for+Geographically+Distributed+Teams&amp;btnG=&amp;hl=es&amp;as_sdt=0%2C5&amp;as_vis=1"/>
    <hyperlink ref="B33" r:id="rId25" display="https://scholar.google.com.br/scholar?q=Estimativa+de+Esfor%C3%A7o+em+Projetos+de+DDS&amp;btnG=&amp;hl=es&amp;as_sdt=0%2C5&amp;as_vis=1"/>
    <hyperlink ref="B27" r:id="rId26" display="https://scholar.google.com.br/scholar?q=Ferramenta+Open-Source+para+Apoio+ao+Uso+do+Scrum+por+Equipes+Distribu%C3%ADdas&amp;btnG=&amp;hl=es&amp;as_sdt=0%2C5&amp;as_vis=1"/>
    <hyperlink ref="B31" r:id="rId27" display="https://scholar.google.com.br/scholar?q=Aplica%C3%A7%C3%A3o+de+Apoio+Computacional+Baseado+em+Processos+de+Neg%C3%B3cio+e+Servi%C3%A7os+Web+para+o+Desenvolvimento+Distribu%C3%ADdo+de+Software&amp;btnG=&amp;hl=es&amp;as_sdt=0%2C5&amp;as_vis=1"/>
    <hyperlink ref="B34" r:id="rId28" display="https://scholar.google.com.br/scholar?q=Proposta+de+Boas+Pr%C3%A1ticas+no+Processo+de+Comunica%C3%A7%C3%A3o+em+Projetos+Distribu%C3%ADdos&amp;btnG=&amp;hl=es&amp;as_sdt=0%2C5&amp;as_vis=1"/>
    <hyperlink ref="B32" r:id="rId29" display="https://scholar.google.com.br/scholar?q=DiSEN-Updater%3A+Um+Mecanismo+de+Atualiza%C3%A7%C3%A3o+Din%C3%A2mica+de+Ferramentas+para+um+Ambiente+de+Desenvolvimento+Distribu%C3%ADdo+de+Software&amp;btnG=&amp;hl=es&amp;as_sdt=0%2C5&amp;as_vis=1"/>
    <hyperlink ref="B29" r:id="rId30" display="https://scholar.google.com.br/scholar?q=Desenvolvimento+Distribu%C3%ADdo+de+Software+com+Captive+Centers&amp;btnG=&amp;hl=es&amp;as_sdt=0%2C5&amp;as_vis=1"/>
    <hyperlink ref="B28" r:id="rId31" display="https://scholar.google.com.br/scholar?q=Padr%C3%B5es+para+Percep%C3%A7%C3%A3o+da+Colabora%C3%A7%C3%A3o+em+Redes+Sociais+de+Desenvolvimento+de+Software&amp;btnG=&amp;hl=es&amp;as_sdt=0%2C5&amp;as_vis=1"/>
    <hyperlink ref="B35" r:id="rId32" display="https://scholar.google.com.br/scholar?q=Uma+Arquitetura+para+o+Gerenciamento+de+Artefatos+de+Testes+Desenvolvidos+por+Equipes+Distribu%C3%ADdas&amp;btnG=&amp;hl=es&amp;as_sdt=0%2C5&amp;as_vis=1"/>
    <hyperlink ref="B30" r:id="rId33" display="https://scholar.google.com.br/scholar?q=An+Approach+for+Collaborative+and+Distributed+Software+Process+Improvement+%28SPI%29&amp;btnG=&amp;hl=es&amp;as_sdt=0%2C5&amp;as_vis=1"/>
    <hyperlink ref="B39" r:id="rId34" display="https://scholar.google.com.br/scholar?q=M3DS%3A+um+modelo+de+din%C3%A2mica+de+desenvolvimento+distribu%C3%ADdo+de+software&amp;btnG=&amp;hl=es&amp;as_sdt=0%2C5&amp;as_vis=1"/>
    <hyperlink ref="B41" r:id="rId35" display="https://scholar.google.com.br/scholar?q=Os+princ%C3%ADpios+%C3%A1geis+na+din%C3%A2mica+do+desenvolvimento+distribu%C3%ADdo+de+software&amp;btnG=&amp;hl=es&amp;as_sdt=0%2C5&amp;as_vis=1"/>
    <hyperlink ref="B40" r:id="rId36"/>
    <hyperlink ref="B45" r:id="rId37" display="https://scholar.google.com.br/scholar?q=OntoDiSEN%3A+uma+ontologia+para+apoiar+o+desenvolvimento+distribu&amp;btnG=&amp;hl=es&amp;as_sdt=0%2C5&amp;as_vis=1"/>
    <hyperlink ref="B46" r:id="rId38" display="https://scholar.google.com.br/scholar?q=Alocando+Equipes+Distribu%C3%ADdas+com+base+em+Aspectos+N%C3%A3o-T%C3%A9cnicos&amp;btnG=&amp;hl=es&amp;as_sdt=0%2C5&amp;as_vis=1"/>
    <hyperlink ref="B42" r:id="rId39" display="https://scholar.google.com.br/scholar?q=Desafios+e+Boas+Pr%C3%A1ticas+para+o+Gerenciamento+de+Projetos+no+Desenvolvimento+Distribu%C3%ADdo+de+Software&amp;btnG=&amp;hl=es&amp;as_sdt=0%2C5&amp;as_vis=1"/>
    <hyperlink ref="B47" r:id="rId40" display="http://www.lbd.dcc.ufmg.br/bdbcomp/servlet/Trabalho?id=13823"/>
    <hyperlink ref="B36" r:id="rId41" display="https://scholar.google.com.br/scholar?q=Recomendacoes+para+a+Gestao+do+Desenvolvimento+de+Software+com+Equipes+Distribu&amp;btnG=&amp;hl=es&amp;as_sdt=0%2C5&amp;as_vis=1"/>
    <hyperlink ref="B48" r:id="rId42" display="https://scholar.google.com.br/scholar?q=Classificando+organiza%C3%A7%C3%B5es+de+Desenvolvimento+Distribu%C3%ADdo+de+Software+no+modelo+de+capacidade+WAVE&amp;btnG=&amp;hl=es&amp;as_sdt=0%2C5&amp;as_vis=1"/>
    <hyperlink ref="B43" r:id="rId43" display="https://scholar.google.com.br/scholar?q=Desafios+nas+Fases+do+ciclo+de+vida+de+Projetos+Distribu%C3%ADdos&amp;btnG=&amp;hl=es&amp;as_sdt=0%2C5&amp;as_vis=1"/>
    <hyperlink ref="B37" r:id="rId44" display="https://scholar.google.com.br/scholar?q=Modelos+de+Colabora%C3%A7%C3%A3o+no+Desenvolvimento+Distribu%C3%ADdo+de+Software%3A+uma+Revis%C3%A3o+Sistem%C3%A1tica+da+Literatura&amp;btnG=&amp;hl=es&amp;as_sdt=0%2C5&amp;as_vis=1"/>
    <hyperlink ref="B38" r:id="rId45" display="https://scholar.google.com.br/scholar?q=Um+Framework+de+Recomenda%C3%A7%C3%A3o+para+Aloca%C3%A7%C3%A3o+de+Equipes+de+Desenvolvimento+em+Projetos+Distribu%C3%ADdos+de+Linhas+de+Produto+de+Software&amp;btnG=&amp;hl=es&amp;as_sdt=0%2C5&amp;as_vis=1"/>
    <hyperlink ref="B44" r:id="rId46" display="https://scholar.google.com.br/scholar?q=Uso+de+Ontologia+no+Estabelecimento+de+Contratos+Eletr%C3%B4nicos+para+Processos+Interorganizacionais+em+DDS&amp;btnG=&amp;hl=es&amp;as_sdt=0%2C5&amp;as_vis=1"/>
    <hyperlink ref="B53" r:id="rId47" display="https://scholar.google.com.br/scholar?q=A+Utiliza%C3%A7%C3%A3o+de+Pr%C3%A1ticas+Scrum+no+Desenvolvimento+de+Software+com+Equipes+Grandes+e+Distribu%C3%ADdas%3A+um+Relato+de+Experi%C3%AAncia&amp;btnG=&amp;hl=es&amp;as_sdt=0%2C5&amp;as_vis=1"/>
    <hyperlink ref="B49" r:id="rId48" display="https://scholar.google.com.br/scholar?q=Aloca%C3%A7%C3%A3o+de+Tarefas+em+Projetos+de+Desenvolvimento+Distribu%C3%ADdo+de+Software%3A+An%C3%A1lise+das+Solu%C3%A7%C3%B5es+Existentes&amp;btnG=&amp;hl=es&amp;as_sdt=0%2C5&amp;as_vis=1"/>
    <hyperlink ref="B50" r:id="rId49" display="https://scholar.google.com.br/scholar?q=Uso+de+Atributos+N%C3%A3o-t%C3%A9cnicos+na+Aloca%C3%A7%C3%A3o+de+Equipes+em+Projetos+de+Desenvolvimento+Distribu%C3%ADdo+de+Software&amp;btnG=&amp;hl=es&amp;as_sdt=0%2C5&amp;as_vis=1"/>
    <hyperlink ref="B54" r:id="rId50" display="http://www.lbd.dcc.ufmg.br/bdbcomp/servlet/Trabalho?id=13714"/>
    <hyperlink ref="B55" r:id="rId51" display="https://scholar.google.com.br/scholar?q=Follow-the-Sun%3A+Um+Processo+para+Minimizar+as+Dificuldades+de+Projetos+que+Adotam+esta+Estrat%C3%A9gia&amp;btnG=&amp;hl=es&amp;as_sdt=0%2C5&amp;as_vis=1"/>
    <hyperlink ref="B52" r:id="rId52" display="https://scholar.google.com.br/scholar?q=Desmistificando+o+Desenvolvimento+de+Software+Follow-the-Sun%3A+Caracteriza%C3%A7%C3%A3o+e+Li%C3%A7%C3%B5es+Aprendidas&amp;btnG=&amp;hl=es&amp;as_sdt=0%2C5&amp;as_vis=1"/>
    <hyperlink ref="B51" r:id="rId53" display="https://scholar.google.com.br/scholar?q=Uma+Abordagem+Baseada+em+L%C3%B3gica+Nebulosa+para+Sele%C3%A7%C3%A3o+de+Equipes+Distribu%C3%ADdas+Tecnicamente+Qualificadas&amp;btnG=&amp;hl=es&amp;as_sdt=0%2C5&amp;as_vis=1"/>
    <hyperlink ref="B59" r:id="rId54" display="https://scholar.google.com.br/scholar?q=Ontologies+supporting+the+Distributed+Software+Development%3A+a+Systematic+Literature+Review&amp;btnG=&amp;hl=es&amp;as_sdt=0%2C5&amp;as_vis=1"/>
    <hyperlink ref="B58" r:id="rId55" display="https://scholar.google.com.br/scholar?q=Knowledge+and+Contextual+Information+Management+in+Global+Software+Development%3A+Challenges+and+Perspectives&amp;btnG=&amp;hl=es&amp;as_sdt=0%2C5&amp;as_vis=1"/>
    <hyperlink ref="B60" r:id="rId56" display="https://scholar.google.com.br/scholar?q=Motivational+Factors+for+Distributed+Software+Development+Teams&amp;btnG=&amp;hl=es&amp;as_sdt=0%2C5&amp;as_vis=1"/>
    <hyperlink ref="B57" r:id="rId57" display="https://scholar.google.com.br/scholar?q=Elicitation+of+Communication+Inherent+Risks+in+Distributed+Software+Development&amp;btnG=&amp;hl=es&amp;as_sdt=0%2C5&amp;as_vis=1"/>
    <hyperlink ref="B56" r:id="rId58" display="https://scholar.google.com.br/scholar?q=ReuseECOS%3A+An+Approach+to+Support+Global+Software+Development+through+Software+Ecosystems&amp;btnG=&amp;hl=es&amp;as_sdt=0%2C5&amp;as_vis=1"/>
    <hyperlink ref="B61" r:id="rId59" display="https://scholar.google.com.br/scholar?q=Simulated+co-location+in+distributed+software+development%3A+An+experience+report&amp;btnG=&amp;hl=es&amp;as_sdt=0%2C5&amp;as_vis=1"/>
    <hyperlink ref="B64" r:id="rId60" display="https://scholar.google.com.br/scholar?cluster=1249745908985864441&amp;hl=pt-BR&amp;as_sdt=0,5"/>
    <hyperlink ref="B65" r:id="rId61" display="https://scholar.google.com.br/scholar?hl=pt-BR&amp;q=COLLABCODE+-+FERRAMENTA+PARA+APOIO+AO+DESENVOLVIMENTO+DISTRIBU%C3%8DDO+DE+SOFTWARE&amp;btnG=&amp;lr="/>
    <hyperlink ref="B66" r:id="rId62" display="https://scholar.google.com.br/scholar?cluster=11600842057267550178&amp;hl=pt-BR&amp;as_sdt=0,5"/>
    <hyperlink ref="B67" r:id="rId63" display="https://scholar.google.com.br/scholar?hl=pt-BR&amp;q=%22A+UTILIZA%C3%87%C3%83O+DA+PROGRAMA%C3%87%C3%83O+EM+PAR+DISTRIBU%C3%8DDA+NO+ENSINO+DE+PROGRAMA%C3%87%C3%83O&amp;btnG=&amp;lr="/>
    <hyperlink ref="B69" r:id="rId64" display="https://scholar.google.com.br/scholar?q=REFLEX%C3%95ES+SOBRE+COMUNICA%C3%87%C3%83O+NO+DESENVOLVIMENTO+DISTRIBU%C3%8DDO+NO+CONTEXTO+DE+ECOSSISTEMAS+DE+SOFTWARE&amp;btnG=&amp;hl=pt-BR&amp;as_sdt=0%2C5"/>
    <hyperlink ref="B70" r:id="rId65" display="https://scholar.google.com.br/scholar?q=FERRAMENTAS+WEB+2.0+COMO+SUPORTE+A+COMUNICA%C3%87%C3%83O+EM+DESENVOLVIMENTO+DISTRIBU%C3%8DDO+DE+SOFTWARE&amp;btnG=&amp;hl=pt-BR&amp;as_sdt=0%2C5"/>
    <hyperlink ref="B71" r:id="rId66" display="https://scholar.google.com.br/scholar?q=DESENVOLVENDO+UM+MODELO+DE+MATURIDADE+PARA+COMUNICA%C3%87%C3%83O+EM+DESENVOLVIMENTO+DISTRIBU%C3%8DDO+DE+SOFTWARE&amp;btnG=&amp;hl=pt-BR&amp;as_sdt=0%2C5"/>
    <hyperlink ref="B72" r:id="rId67" display="https://scholar.google.com.br/scholar?q=DESAFIOS+NO+GERENCIAMENTO+DE+CONFLITOS+EM+PROJETOS+DE+DESENVOLVIMENTO+DISTRIBU%C3%8DDO+DE+SOFTWARE&amp;btnG=&amp;hl=pt-BR&amp;as_sdt=0%2C5"/>
    <hyperlink ref="B73" r:id="rId68" display="https://scholar.google.com.br/scholar?q=DESENVOLVIMENTO+DISTRIBU%C3%8DDO+DE+SOFTWARE+COM+SCRUM&amp;btnG=&amp;hl=pt-BR&amp;as_sdt=0%2C5"/>
    <hyperlink ref="B74" r:id="rId69" display="https://scholar.google.com.br/scholar?q=PROPOSTA+DE+CEN%C3%81RIOS+GEN%C3%89RICOS+PARA+DEFINI%C3%87%C3%83O+DA+COMUNICA%C3%87%C3%83O+EM+S%C3%8DTIOS+DE+DESENVOLVIMENTO+DISTRIBU%C3%8DDO+DE+SOFTWARE&amp;btnG=&amp;hl=pt-BR&amp;as_sdt=0%2C5"/>
    <hyperlink ref="B75" r:id="rId70" display="https://scholar.google.com.br/scholar?q=DESENVOLVIMENTO+DE+HANDOFFS+EM+PROJETOS+DE+SOFTWARE+FOLLOW-THE-SUN%3A+UM+RELATO+DE+EXPERI%C3%8ANCIA&amp;btnG=&amp;hl=pt-BR&amp;as_sdt=0%2C5"/>
    <hyperlink ref="B62" r:id="rId71" display="https://scholar.google.com.br/scholar?q=ELEMENTOS+QUE+IMPACTAM+O+PLANEJAMENTO+DE+TESTES+EM+AMBIENTES+DE+DESENVOLVIMENTO+DISTRIBU%C3%8DDO+NO+CONTEXTO+DE+ECOSSISTEMAS+DE+SOFTWARE&amp;btnG=&amp;hl=pt-BR&amp;as_sdt=0%2C5"/>
    <hyperlink ref="B78" r:id="rId72" display="https://scholar.google.com.br/scholar?q=USO+DE+MAPAS+MENTAIS+COMO+FERRAMENTA+AUXILIAR+AO+DESENVOLVIMENTO+DISTRIBU%C3%8DDO+DE+SOFTWAR&amp;btnG=&amp;hl=pt-BR&amp;as_sdt=0%2C5"/>
    <hyperlink ref="B80" r:id="rId73" display="https://scholar.google.com.br/scholar?q=Towards+the+Evaluation+of+System-of-Systems+Software+Architectures&amp;btnG=&amp;hl=es&amp;as_sdt=0%2C5&amp;as_ylo=2014&amp;as_vis=1"/>
    <hyperlink ref="B79" r:id="rId74" display="https://scholar.google.com.br/scholar?hl=es&amp;as_sdt=0,5&amp;q=Towards+the+Dynamic+Evolution+of+Context-based+Systems-of+Systems"/>
    <hyperlink ref="B81" r:id="rId75" display="https://scholar.google.com.br/scholar?q=Um+Framework+para+Gest%C3%A3o+de+Riscos+em+Projetos+de+Desenvolvimento+Distribu%C3%ADdo+de+Software&amp;btnG=&amp;hl=es&amp;as_sdt=0%2C5&amp;as_ylo=2014"/>
    <hyperlink ref="B82" r:id="rId76" display="https://scholar.google.com.br/scholar?q=Ecosystem+Business+Models+and+Architectures+WDES+McGregor+Silva+Amorim&amp;btnG=&amp;hl=es&amp;as_sdt=0%2C5&amp;as_ylo=2014"/>
    <hyperlink ref="B83" r:id="rId77" display="https://scholar.google.com.br/scholar?q=Qualidade+em+Ecossistemas+de+Software%3A+Desafios+e+Oportunidades+de+Pesquisa&amp;btnG=&amp;hl=es&amp;as_sdt=0%2C5&amp;as_ylo=2014"/>
    <hyperlink ref="B84" r:id="rId78" display="https://scholar.google.com.br/scholar?q=On+the+Relations+between+Systems-of-Systems+and+Software+Ecosystems&amp;btnG=&amp;hl=es&amp;as_sdt=0%2C5&amp;as_ylo=2014"/>
    <hyperlink ref="B85" r:id="rId79" display="https://scholar.google.com.br/scholar?q=On+the+Identification+of+Factors+that+Promote+High-Performance+Projects+in+Distributed+Development+WDES&amp;btnG=&amp;hl=es&amp;as_sdt=0%2C5&amp;as_ylo=2014"/>
    <hyperlink ref="B86" r:id="rId80" display="https://scholar.google.com.br/scholar?q=SECOView%3A+Uma+Abordagem+Baseada+em+Vis%C3%B5es+para+Apoiar+a+Governan%C3%A7a+de+Ecossistemas+de+Software&amp;btnG=&amp;hl=es&amp;as_sdt=0%2C5&amp;as_ylo=2014"/>
    <hyperlink ref="B24" r:id="rId81" display="http://www.lbd.dcc.ufmg.br/bdbcomp/servlet/Trabalho?id=7583"/>
    <hyperlink ref="B87" r:id="rId82"/>
    <hyperlink ref="B88" r:id="rId83"/>
    <hyperlink ref="B89" r:id="rId84"/>
    <hyperlink ref="B90" r:id="rId85"/>
    <hyperlink ref="B91" r:id="rId86"/>
    <hyperlink ref="B92" r:id="rId87"/>
    <hyperlink ref="B93" r:id="rId88"/>
    <hyperlink ref="B94" r:id="rId89"/>
    <hyperlink ref="B95" r:id="rId90"/>
    <hyperlink ref="B96" r:id="rId91"/>
    <hyperlink ref="B97" r:id="rId92"/>
    <hyperlink ref="B98" r:id="rId93"/>
    <hyperlink ref="B99" r:id="rId94"/>
    <hyperlink ref="B100" r:id="rId95"/>
    <hyperlink ref="B101" r:id="rId96"/>
    <hyperlink ref="B102" r:id="rId97"/>
    <hyperlink ref="B103" r:id="rId98"/>
    <hyperlink ref="B104" r:id="rId99"/>
  </hyperlinks>
  <pageMargins left="0.511811024" right="0.511811024" top="0.78740157499999996" bottom="0.78740157499999996" header="0.31496062000000002" footer="0.31496062000000002"/>
  <pageSetup paperSize="9" orientation="portrait" r:id="rId100"/>
  <tableParts count="1">
    <tablePart r:id="rId10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
  <sheetViews>
    <sheetView workbookViewId="0">
      <selection activeCell="G1" sqref="G1"/>
    </sheetView>
  </sheetViews>
  <sheetFormatPr defaultColWidth="15.140625" defaultRowHeight="175.5" customHeight="1"/>
  <cols>
    <col min="1" max="1" width="41.85546875" style="46" customWidth="1"/>
    <col min="2" max="2" width="54.5703125" style="46" customWidth="1"/>
    <col min="3" max="3" width="6.5703125" style="10" customWidth="1"/>
    <col min="4" max="4" width="17.85546875" style="10" customWidth="1"/>
    <col min="5" max="5" width="16.85546875" style="10" customWidth="1"/>
    <col min="6" max="6" width="19.42578125" style="10" customWidth="1"/>
    <col min="7" max="7" width="23.140625" style="10" customWidth="1"/>
    <col min="8" max="8" width="79.140625" style="49" customWidth="1"/>
    <col min="9" max="9" width="13.42578125" style="46" customWidth="1"/>
    <col min="10" max="26" width="13.28515625" style="46" customWidth="1"/>
    <col min="27" max="16384" width="15.140625" style="46"/>
  </cols>
  <sheetData>
    <row r="1" spans="1:9" ht="175.5" customHeight="1">
      <c r="A1" s="6" t="s">
        <v>0</v>
      </c>
      <c r="B1" s="6" t="s">
        <v>1</v>
      </c>
      <c r="C1" s="6" t="s">
        <v>2</v>
      </c>
      <c r="D1" s="6" t="s">
        <v>40</v>
      </c>
      <c r="E1" s="6" t="s">
        <v>43</v>
      </c>
      <c r="F1" s="6" t="s">
        <v>44</v>
      </c>
      <c r="G1" s="6" t="s">
        <v>45</v>
      </c>
      <c r="H1" s="6" t="s">
        <v>383</v>
      </c>
      <c r="I1" s="7" t="s">
        <v>46</v>
      </c>
    </row>
    <row r="2" spans="1:9" ht="175.5" customHeight="1">
      <c r="A2" s="8" t="s">
        <v>17</v>
      </c>
      <c r="B2" s="47" t="str">
        <f>HYPERLINK("http://www.lbd.dcc.ufmg.br/bdbcomp/servlet/Trabalho?id=6887","Towards Distributed Development: MORPHOS Process")</f>
        <v>Towards Distributed Development: MORPHOS Process</v>
      </c>
      <c r="C2" s="10">
        <v>2007</v>
      </c>
      <c r="D2" s="10" t="s">
        <v>55</v>
      </c>
      <c r="E2" s="10" t="s">
        <v>60</v>
      </c>
      <c r="F2" s="10" t="s">
        <v>61</v>
      </c>
      <c r="G2" s="10" t="s">
        <v>62</v>
      </c>
      <c r="H2" s="11" t="s">
        <v>63</v>
      </c>
      <c r="I2" s="10">
        <v>5</v>
      </c>
    </row>
    <row r="3" spans="1:9" ht="175.5" customHeight="1">
      <c r="A3" s="8" t="s">
        <v>6</v>
      </c>
      <c r="B3" s="12" t="str">
        <f>HYPERLINK("http://www.lbd.dcc.ufmg.br/bdbcomp/servlet/Trabalho?id=6896"," Theseus: Tool Support for Managers of Distributed Software Development Projects.")</f>
        <v> Theseus: Tool Support for Managers of Distributed Software Development Projects.</v>
      </c>
      <c r="C3" s="10">
        <v>2007</v>
      </c>
      <c r="D3" s="10" t="s">
        <v>55</v>
      </c>
      <c r="E3" s="10" t="s">
        <v>80</v>
      </c>
      <c r="F3" s="10" t="s">
        <v>81</v>
      </c>
      <c r="G3" s="48" t="s">
        <v>82</v>
      </c>
      <c r="H3" s="11" t="s">
        <v>86</v>
      </c>
      <c r="I3" s="10">
        <v>2</v>
      </c>
    </row>
    <row r="4" spans="1:9" ht="175.5" customHeight="1">
      <c r="A4" s="8" t="s">
        <v>13</v>
      </c>
      <c r="B4" s="12" t="str">
        <f>HYPERLINK("http://www.lbd.dcc.ufmg.br/bdbcomp/servlet/Trabalho?id=6886","Uso de StoryBoards para a Documentacao dos Requisitos no Desenvolvimento Distribuído de Software")</f>
        <v>Uso de StoryBoards para a Documentacao dos Requisitos no Desenvolvimento Distribuído de Software</v>
      </c>
      <c r="C4" s="10">
        <v>2007</v>
      </c>
      <c r="D4" s="10" t="s">
        <v>88</v>
      </c>
      <c r="E4" s="10" t="s">
        <v>90</v>
      </c>
      <c r="F4" s="10" t="s">
        <v>91</v>
      </c>
      <c r="G4" s="48" t="s">
        <v>92</v>
      </c>
      <c r="H4" s="11" t="s">
        <v>93</v>
      </c>
      <c r="I4" s="10">
        <v>6</v>
      </c>
    </row>
    <row r="5" spans="1:9" ht="175.5" customHeight="1">
      <c r="A5" s="8" t="s">
        <v>15</v>
      </c>
      <c r="B5" s="12" t="str">
        <f>HYPERLINK("http://www.lbd.dcc.ufmg.br/bdbcomp/servlet/Trabalho?id=6888","Como o ensino de DDS pode auxiliar na aprendizagem de desenvolvimento de software como um todo? Uma avaliação inicial com alunos de cursos de graduação da PUCRS")</f>
        <v>Como o ensino de DDS pode auxiliar na aprendizagem de desenvolvimento de software como um todo? Uma avaliação inicial com alunos de cursos de graduação da PUCRS</v>
      </c>
      <c r="C5" s="10">
        <v>2007</v>
      </c>
      <c r="D5" s="10" t="s">
        <v>88</v>
      </c>
      <c r="E5" s="10" t="s">
        <v>95</v>
      </c>
      <c r="F5" s="48" t="s">
        <v>96</v>
      </c>
      <c r="G5" s="48" t="s">
        <v>97</v>
      </c>
      <c r="H5" s="11" t="s">
        <v>98</v>
      </c>
      <c r="I5" s="10">
        <v>2</v>
      </c>
    </row>
    <row r="6" spans="1:9" ht="175.5" customHeight="1">
      <c r="A6" s="8" t="s">
        <v>7</v>
      </c>
      <c r="B6" s="47" t="str">
        <f>HYPERLINK("http://www.lbd.dcc.ufmg.br/bdbcomp/servlet/Trabalho?id=6889","Um Ambiente de Desenvolvimento Distribuído de Software-DiSEN")</f>
        <v>Um Ambiente de Desenvolvimento Distribuído de Software-DiSEN</v>
      </c>
      <c r="C6" s="10">
        <v>2007</v>
      </c>
      <c r="D6" s="10" t="s">
        <v>88</v>
      </c>
      <c r="E6" s="10" t="s">
        <v>101</v>
      </c>
      <c r="F6" s="10" t="s">
        <v>102</v>
      </c>
      <c r="G6" s="48" t="s">
        <v>103</v>
      </c>
      <c r="H6" s="11" t="s">
        <v>104</v>
      </c>
      <c r="I6" s="10">
        <v>4</v>
      </c>
    </row>
    <row r="7" spans="1:9" ht="175.5" customHeight="1">
      <c r="A7" s="8" t="s">
        <v>14</v>
      </c>
      <c r="B7" s="12" t="str">
        <f>HYPERLINK("http://www.lbd.dcc.ufmg.br/bdbcomp/servlet/Trabalho?id=6890"," Definição de Critérios para Análise Comparativa de Modelos de Referência para Desenvolvimento Global de Software")</f>
        <v> Definição de Critérios para Análise Comparativa de Modelos de Referência para Desenvolvimento Global de Software</v>
      </c>
      <c r="C7" s="10">
        <v>2007</v>
      </c>
      <c r="D7" s="10" t="s">
        <v>88</v>
      </c>
      <c r="E7" s="10" t="s">
        <v>95</v>
      </c>
      <c r="F7" s="10" t="s">
        <v>96</v>
      </c>
      <c r="G7" s="48" t="s">
        <v>97</v>
      </c>
      <c r="H7" s="11" t="s">
        <v>105</v>
      </c>
      <c r="I7" s="10">
        <v>2</v>
      </c>
    </row>
    <row r="8" spans="1:9" ht="175.5" customHeight="1">
      <c r="A8" s="8" t="s">
        <v>16</v>
      </c>
      <c r="B8" s="12" t="str">
        <f>HYPERLINK("http://www.lbd.dcc.ufmg.br/bdbcomp/servlet/Trabalho?id=6891"," Como Evoluem as Organizações de DDS em Ambientes de Internal Offshoring? Um Estudo Qualitativo Preliminar")</f>
        <v> Como Evoluem as Organizações de DDS em Ambientes de Internal Offshoring? Um Estudo Qualitativo Preliminar</v>
      </c>
      <c r="C8" s="10">
        <v>2007</v>
      </c>
      <c r="D8" s="10" t="s">
        <v>88</v>
      </c>
      <c r="E8" s="10" t="s">
        <v>95</v>
      </c>
      <c r="F8" s="10" t="s">
        <v>96</v>
      </c>
      <c r="G8" s="48" t="s">
        <v>97</v>
      </c>
      <c r="H8" s="11" t="s">
        <v>108</v>
      </c>
      <c r="I8" s="10">
        <v>2</v>
      </c>
    </row>
    <row r="9" spans="1:9" ht="175.5" customHeight="1">
      <c r="A9" s="8" t="s">
        <v>9</v>
      </c>
      <c r="B9" s="12" t="str">
        <f>HYPERLINK("http://www.lbd.dcc.ufmg.br/bdbcomp/servlet/Trabalho?id=6892","Políticas de Controle de Concorrência no Desenvolvimento Distribuído de Software")</f>
        <v>Políticas de Controle de Concorrência no Desenvolvimento Distribuído de Software</v>
      </c>
      <c r="C9" s="10">
        <v>2007</v>
      </c>
      <c r="D9" s="10" t="s">
        <v>88</v>
      </c>
      <c r="E9" s="10" t="s">
        <v>110</v>
      </c>
      <c r="F9" s="10" t="s">
        <v>111</v>
      </c>
      <c r="G9" s="48" t="s">
        <v>112</v>
      </c>
      <c r="H9" s="11" t="s">
        <v>113</v>
      </c>
      <c r="I9" s="10">
        <v>3</v>
      </c>
    </row>
    <row r="10" spans="1:9" ht="175.5" customHeight="1">
      <c r="A10" s="8" t="s">
        <v>16</v>
      </c>
      <c r="B10" s="12" t="str">
        <f>HYPERLINK("http://www.lbd.dcc.ufmg.br/bdbcomp/servlet/Trabalho?id=6893","  Um Modelo para o Cálculo da Distância Percebida Relativa em Equipes Distribuídas de Desenvolvimento de Software.")</f>
        <v>  Um Modelo para o Cálculo da Distância Percebida Relativa em Equipes Distribuídas de Desenvolvimento de Software.</v>
      </c>
      <c r="C10" s="10">
        <v>2007</v>
      </c>
      <c r="D10" s="10" t="s">
        <v>88</v>
      </c>
      <c r="E10" s="10" t="s">
        <v>95</v>
      </c>
      <c r="F10" s="10" t="s">
        <v>96</v>
      </c>
      <c r="G10" s="48" t="s">
        <v>97</v>
      </c>
      <c r="H10" s="11" t="s">
        <v>116</v>
      </c>
      <c r="I10" s="10">
        <v>2</v>
      </c>
    </row>
    <row r="11" spans="1:9" ht="175.5" customHeight="1">
      <c r="A11" s="8" t="s">
        <v>8</v>
      </c>
      <c r="B11" s="12" t="str">
        <f>HYPERLINK("http://www.lbd.dcc.ufmg.br/bdbcomp/servlet/Trabalho?id=6894"," Adoção de SCRUM em uma Fábrica de Desenvolvimento Distribuído de Software")</f>
        <v> Adoção de SCRUM em uma Fábrica de Desenvolvimento Distribuído de Software</v>
      </c>
      <c r="C11" s="10">
        <v>2007</v>
      </c>
      <c r="D11" s="10" t="s">
        <v>88</v>
      </c>
      <c r="E11" s="10" t="s">
        <v>90</v>
      </c>
      <c r="F11" s="10" t="s">
        <v>91</v>
      </c>
      <c r="G11" s="48" t="s">
        <v>92</v>
      </c>
      <c r="H11" s="11" t="s">
        <v>119</v>
      </c>
      <c r="I11" s="10">
        <v>11</v>
      </c>
    </row>
    <row r="12" spans="1:9" ht="175.5" customHeight="1">
      <c r="A12" s="8" t="s">
        <v>12</v>
      </c>
      <c r="B12" s="47" t="str">
        <f>HYPERLINK("http://www.lbd.dcc.ufmg.br/bdbcomp/servlet/Trabalho?id=6895"," PEP - Uma Ferramenta de Apoio à Programação em Par Distribuída.")</f>
        <v> PEP - Uma Ferramenta de Apoio à Programação em Par Distribuída.</v>
      </c>
      <c r="C12" s="10">
        <v>2007</v>
      </c>
      <c r="D12" s="10" t="s">
        <v>88</v>
      </c>
      <c r="E12" s="10" t="s">
        <v>121</v>
      </c>
      <c r="F12" s="10" t="s">
        <v>122</v>
      </c>
      <c r="G12" s="48" t="s">
        <v>123</v>
      </c>
      <c r="H12" s="11" t="s">
        <v>124</v>
      </c>
      <c r="I12" s="10">
        <v>3</v>
      </c>
    </row>
    <row r="13" spans="1:9" ht="175.5" customHeight="1">
      <c r="A13" s="8" t="s">
        <v>10</v>
      </c>
      <c r="B13" s="12" t="str">
        <f>HYPERLINK("http://www.lbd.dcc.ufmg.br/bdbcomp/servlet/Trabalho?id=6897","Uma Extensão do Framework ComponentForge para Desenvolvimento Distribuído de Software. ")</f>
        <v>Uma Extensão do Framework ComponentForge para Desenvolvimento Distribuído de Software. </v>
      </c>
      <c r="C13" s="10">
        <v>2007</v>
      </c>
      <c r="D13" s="10" t="s">
        <v>88</v>
      </c>
      <c r="E13" s="10" t="s">
        <v>129</v>
      </c>
      <c r="F13" s="10" t="s">
        <v>130</v>
      </c>
      <c r="G13" s="48" t="s">
        <v>131</v>
      </c>
      <c r="H13" s="11" t="s">
        <v>132</v>
      </c>
      <c r="I13" s="10">
        <v>5</v>
      </c>
    </row>
    <row r="14" spans="1:9" ht="175.5" customHeight="1">
      <c r="A14" s="8" t="s">
        <v>23</v>
      </c>
      <c r="B14" s="47" t="str">
        <f>HYPERLINK("http://www.lbd.dcc.ufmg.br/bdbcomp/servlet/Trabalho?id=7588","A Distributed Intelligent Pair-Software Development Tool.")</f>
        <v>A Distributed Intelligent Pair-Software Development Tool.</v>
      </c>
      <c r="C14" s="10">
        <v>2008</v>
      </c>
      <c r="D14" s="10" t="s">
        <v>55</v>
      </c>
      <c r="E14" s="10" t="s">
        <v>133</v>
      </c>
      <c r="F14" s="10" t="s">
        <v>134</v>
      </c>
      <c r="G14" s="10" t="s">
        <v>135</v>
      </c>
      <c r="H14" s="11" t="s">
        <v>136</v>
      </c>
      <c r="I14" s="10">
        <v>6</v>
      </c>
    </row>
    <row r="15" spans="1:9" ht="175.5" customHeight="1">
      <c r="A15" s="8" t="s">
        <v>16</v>
      </c>
      <c r="B15" s="12" t="str">
        <f>HYPERLINK("http://www.lbd.dcc.ufmg.br/bdbcomp/servlet/Trabalho?id=7582","Gestão Quantitativa de Pessoas em DDS: primeira aplicação de um modelo para o cálculo da distância percebida relativa em equipes distribuídas de desenvolvimento de software")</f>
        <v>Gestão Quantitativa de Pessoas em DDS: primeira aplicação de um modelo para o cálculo da distância percebida relativa em equipes distribuídas de desenvolvimento de software</v>
      </c>
      <c r="C15" s="10">
        <v>2008</v>
      </c>
      <c r="D15" s="10" t="s">
        <v>88</v>
      </c>
      <c r="E15" s="10" t="s">
        <v>95</v>
      </c>
      <c r="F15" s="10" t="s">
        <v>96</v>
      </c>
      <c r="G15" s="48" t="s">
        <v>97</v>
      </c>
      <c r="H15" s="11" t="s">
        <v>116</v>
      </c>
      <c r="I15" s="10">
        <v>2</v>
      </c>
    </row>
    <row r="16" spans="1:9" ht="175.5" customHeight="1">
      <c r="A16" s="8" t="s">
        <v>128</v>
      </c>
      <c r="B16" s="12" t="str">
        <f>HYPERLINK("http://www.lbd.dcc.ufmg.br/bdbcomp/servlet/Trabalho?id=7583","Suporte a Relacionamentos entre Equipes Distribuídas em um Repositório de Componentes de Software.")</f>
        <v>Suporte a Relacionamentos entre Equipes Distribuídas em um Repositório de Componentes de Software.</v>
      </c>
      <c r="C16" s="48">
        <v>2008</v>
      </c>
      <c r="D16" s="10" t="s">
        <v>88</v>
      </c>
      <c r="E16" s="10" t="s">
        <v>129</v>
      </c>
      <c r="F16" s="10" t="s">
        <v>130</v>
      </c>
      <c r="G16" s="48" t="s">
        <v>131</v>
      </c>
      <c r="H16" s="11" t="s">
        <v>137</v>
      </c>
      <c r="I16" s="10">
        <v>2</v>
      </c>
    </row>
    <row r="17" spans="1:9" ht="175.5" customHeight="1">
      <c r="A17" s="8" t="s">
        <v>19</v>
      </c>
      <c r="B17" s="47" t="str">
        <f>HYPERLINK("http://www.lbd.dcc.ufmg.br/bdbcomp/servlet/Trabalho?id=7584","Uma Proposta de Processo de Manutenção Distribuída")</f>
        <v>Uma Proposta de Processo de Manutenção Distribuída</v>
      </c>
      <c r="C17" s="10">
        <v>2008</v>
      </c>
      <c r="D17" s="10" t="s">
        <v>88</v>
      </c>
      <c r="E17" s="10" t="s">
        <v>140</v>
      </c>
      <c r="F17" s="10" t="s">
        <v>141</v>
      </c>
      <c r="G17" s="48" t="s">
        <v>142</v>
      </c>
      <c r="H17" s="11" t="s">
        <v>143</v>
      </c>
      <c r="I17" s="10">
        <v>4</v>
      </c>
    </row>
    <row r="18" spans="1:9" ht="175.5" customHeight="1">
      <c r="A18" s="8" t="s">
        <v>21</v>
      </c>
      <c r="B18" s="12" t="str">
        <f>HYPERLINK("http://www.lbd.dcc.ufmg.br/bdbcomp/servlet/Trabalho?id=7585","Um Processo de Gerência de Comunicação Baseada no PMBoK para o desenvolvimento Distribuído de Software")</f>
        <v>Um Processo de Gerência de Comunicação Baseada no PMBoK para o desenvolvimento Distribuído de Software</v>
      </c>
      <c r="C18" s="10">
        <v>2008</v>
      </c>
      <c r="D18" s="10" t="s">
        <v>88</v>
      </c>
      <c r="E18" s="10" t="s">
        <v>140</v>
      </c>
      <c r="F18" s="10" t="s">
        <v>141</v>
      </c>
      <c r="G18" s="48" t="s">
        <v>142</v>
      </c>
      <c r="H18" s="11" t="s">
        <v>146</v>
      </c>
      <c r="I18" s="10">
        <v>4</v>
      </c>
    </row>
    <row r="19" spans="1:9" ht="175.5" customHeight="1">
      <c r="A19" s="8" t="s">
        <v>26</v>
      </c>
      <c r="B19" s="47" t="str">
        <f>HYPERLINK("http://www.lbd.dcc.ufmg.br/bdbcomp/servlet/Trabalho?id=7586"," Visualizando a Evolução de Software no Desenvolvimento Distribuído.")</f>
        <v> Visualizando a Evolução de Software no Desenvolvimento Distribuído.</v>
      </c>
      <c r="C19" s="10">
        <v>2008</v>
      </c>
      <c r="D19" s="10" t="s">
        <v>88</v>
      </c>
      <c r="E19" s="10" t="s">
        <v>110</v>
      </c>
      <c r="F19" s="10" t="s">
        <v>149</v>
      </c>
      <c r="G19" s="48" t="s">
        <v>150</v>
      </c>
      <c r="H19" s="11" t="s">
        <v>151</v>
      </c>
      <c r="I19" s="10">
        <v>3</v>
      </c>
    </row>
    <row r="20" spans="1:9" ht="175.5" customHeight="1">
      <c r="A20" s="8" t="s">
        <v>20</v>
      </c>
      <c r="B20" s="12" t="str">
        <f>HYPERLINK("http://www.lbd.dcc.ufmg.br/bdbcomp/servlet/Trabalho?id=7587","DiSEN-SCV: Uma estratégia para replicação de repositórios e alocação de artefatos. ")</f>
        <v>DiSEN-SCV: Uma estratégia para replicação de repositórios e alocação de artefatos. </v>
      </c>
      <c r="C20" s="10">
        <v>2008</v>
      </c>
      <c r="D20" s="10" t="s">
        <v>88</v>
      </c>
      <c r="E20" s="10" t="s">
        <v>101</v>
      </c>
      <c r="F20" s="10" t="s">
        <v>152</v>
      </c>
      <c r="G20" s="10" t="s">
        <v>153</v>
      </c>
      <c r="H20" s="11" t="s">
        <v>154</v>
      </c>
      <c r="I20" s="10">
        <v>2</v>
      </c>
    </row>
    <row r="21" spans="1:9" ht="175.5" customHeight="1">
      <c r="A21" s="8" t="s">
        <v>18</v>
      </c>
      <c r="B21" s="12" t="str">
        <f>HYPERLINK("http://www.lbd.dcc.ufmg.br/bdbcomp/servlet/Trabalho?id=7589","Compartilhamento de Informações sobre Processos em Ambientes Descentralizados de Desenvolvimento de Software.")</f>
        <v>Compartilhamento de Informações sobre Processos em Ambientes Descentralizados de Desenvolvimento de Software.</v>
      </c>
      <c r="C21" s="10">
        <v>2008</v>
      </c>
      <c r="D21" s="10" t="s">
        <v>88</v>
      </c>
      <c r="E21" s="10" t="s">
        <v>80</v>
      </c>
      <c r="F21" s="10" t="s">
        <v>81</v>
      </c>
      <c r="G21" s="10" t="s">
        <v>82</v>
      </c>
      <c r="H21" s="11" t="s">
        <v>155</v>
      </c>
      <c r="I21" s="10">
        <v>2</v>
      </c>
    </row>
    <row r="22" spans="1:9" ht="175.5" customHeight="1">
      <c r="A22" s="8" t="s">
        <v>27</v>
      </c>
      <c r="B22" s="12" t="str">
        <f>HYPERLINK("http://www.lbd.dcc.ufmg.br/bdbcomp/servlet/Trabalho?id=7590"," Uma Experiência na Adaptação do RUP em Pequenas Equipes de Desenvolvimento Distribuído")</f>
        <v> Uma Experiência na Adaptação do RUP em Pequenas Equipes de Desenvolvimento Distribuído</v>
      </c>
      <c r="C22" s="10">
        <v>2008</v>
      </c>
      <c r="D22" s="10" t="s">
        <v>88</v>
      </c>
      <c r="E22" s="10" t="s">
        <v>90</v>
      </c>
      <c r="F22" s="10" t="s">
        <v>91</v>
      </c>
      <c r="G22" s="10" t="s">
        <v>92</v>
      </c>
      <c r="H22" s="11" t="s">
        <v>157</v>
      </c>
      <c r="I22" s="10">
        <v>8</v>
      </c>
    </row>
    <row r="23" spans="1:9" ht="175.5" customHeight="1">
      <c r="A23" s="8" t="s">
        <v>25</v>
      </c>
      <c r="B23" s="12" t="str">
        <f>HYPERLINK("http://www.lbd.dcc.ufmg.br/bdbcomp/servlet/Trabalho?id=7591","Um Relato de Experiência com uma Infra-Estrutura para Desenvolvimento Distribuído Baseado em Componentes.")</f>
        <v>Um Relato de Experiência com uma Infra-Estrutura para Desenvolvimento Distribuído Baseado em Componentes.</v>
      </c>
      <c r="C23" s="10">
        <v>2008</v>
      </c>
      <c r="D23" s="10" t="s">
        <v>88</v>
      </c>
      <c r="E23" s="10" t="s">
        <v>129</v>
      </c>
      <c r="F23" s="10" t="s">
        <v>130</v>
      </c>
      <c r="G23" s="10" t="s">
        <v>131</v>
      </c>
      <c r="H23" s="11" t="s">
        <v>158</v>
      </c>
      <c r="I23" s="10">
        <v>2</v>
      </c>
    </row>
    <row r="24" spans="1:9" ht="175.5" customHeight="1">
      <c r="A24" s="8" t="s">
        <v>22</v>
      </c>
      <c r="B24" s="12" t="str">
        <f>HYPERLINK("http://www.lbd.dcc.ufmg.br/bdbcomp/servlet/Trabalho?id=7592","Um Conjunto de Soluções para Apoiar o Desenvolvimento Distribuído de Software")</f>
        <v>Um Conjunto de Soluções para Apoiar o Desenvolvimento Distribuído de Software</v>
      </c>
      <c r="C24" s="10">
        <v>2008</v>
      </c>
      <c r="D24" s="10" t="s">
        <v>88</v>
      </c>
      <c r="E24" s="10" t="s">
        <v>101</v>
      </c>
      <c r="F24" s="10" t="s">
        <v>159</v>
      </c>
      <c r="G24" s="48" t="s">
        <v>160</v>
      </c>
      <c r="H24" s="11" t="s">
        <v>161</v>
      </c>
      <c r="I24" s="10">
        <v>6</v>
      </c>
    </row>
    <row r="25" spans="1:9" ht="175.5" customHeight="1">
      <c r="A25" s="8" t="s">
        <v>24</v>
      </c>
      <c r="B25" s="12" t="str">
        <f>HYPERLINK("http://www.lbd.dcc.ufmg.br/bdbcomp/servlet/Trabalho?id=7593","Verificação e Validação para Desenvolvimento Distribuído de Software: Uma Revisão Sistemática.")</f>
        <v>Verificação e Validação para Desenvolvimento Distribuído de Software: Uma Revisão Sistemática.</v>
      </c>
      <c r="C25" s="10">
        <v>2008</v>
      </c>
      <c r="D25" s="10" t="s">
        <v>88</v>
      </c>
      <c r="E25" s="10" t="s">
        <v>101</v>
      </c>
      <c r="F25" s="10" t="s">
        <v>152</v>
      </c>
      <c r="G25" s="10" t="s">
        <v>153</v>
      </c>
      <c r="H25" s="11" t="s">
        <v>162</v>
      </c>
      <c r="I25" s="10">
        <v>3</v>
      </c>
    </row>
    <row r="26" spans="1:9" ht="175.5" customHeight="1">
      <c r="A26" s="8" t="s">
        <v>36</v>
      </c>
      <c r="B26" s="12" t="str">
        <f>HYPERLINK("http://www.lbd.dcc.ufmg.br/bdbcomp/servlet/Trabalho?id=7698"," An Approach for Collaborative and Distributed Software Process Improvement (SPI).")</f>
        <v> An Approach for Collaborative and Distributed Software Process Improvement (SPI).</v>
      </c>
      <c r="C26" s="10">
        <v>2009</v>
      </c>
      <c r="D26" s="10" t="s">
        <v>55</v>
      </c>
      <c r="E26" s="10" t="s">
        <v>163</v>
      </c>
      <c r="F26" s="10" t="s">
        <v>164</v>
      </c>
      <c r="G26" s="10" t="s">
        <v>165</v>
      </c>
      <c r="H26" s="11" t="s">
        <v>166</v>
      </c>
      <c r="I26" s="10">
        <v>3</v>
      </c>
    </row>
    <row r="27" spans="1:9" ht="175.5" customHeight="1">
      <c r="A27" s="8" t="s">
        <v>28</v>
      </c>
      <c r="B27" s="12" t="str">
        <f>HYPERLINK("http://www.lbd.dcc.ufmg.br/bdbcomp/servlet/Trabalho?id=7705","Collaborative Software Development Process for Geographically Distributed Teams.")</f>
        <v>Collaborative Software Development Process for Geographically Distributed Teams.</v>
      </c>
      <c r="C27" s="10">
        <v>2009</v>
      </c>
      <c r="D27" s="10" t="s">
        <v>55</v>
      </c>
      <c r="E27" s="10" t="s">
        <v>90</v>
      </c>
      <c r="F27" s="10" t="s">
        <v>167</v>
      </c>
      <c r="G27" s="48" t="s">
        <v>168</v>
      </c>
      <c r="H27" s="11" t="s">
        <v>169</v>
      </c>
      <c r="I27" s="10">
        <v>3</v>
      </c>
    </row>
    <row r="28" spans="1:9" ht="175.5" customHeight="1">
      <c r="A28" s="8" t="s">
        <v>34</v>
      </c>
      <c r="B28" s="12" t="str">
        <f>HYPERLINK("http://www.lbd.dcc.ufmg.br/bdbcomp/servlet/Trabalho?id=7696"," Padrões para Percepção da Colaboração em Redes Sociais de Desenvolvimento de Software")</f>
        <v> Padrões para Percepção da Colaboração em Redes Sociais de Desenvolvimento de Software</v>
      </c>
      <c r="C28" s="10">
        <v>2009</v>
      </c>
      <c r="D28" s="10" t="s">
        <v>88</v>
      </c>
      <c r="E28" s="10" t="s">
        <v>110</v>
      </c>
      <c r="F28" s="10" t="s">
        <v>170</v>
      </c>
      <c r="G28" s="10" t="s">
        <v>171</v>
      </c>
      <c r="H28" s="11" t="s">
        <v>172</v>
      </c>
      <c r="I28" s="10">
        <v>3</v>
      </c>
    </row>
    <row r="29" spans="1:9" ht="175.5" customHeight="1">
      <c r="A29" s="8" t="s">
        <v>16</v>
      </c>
      <c r="B29" s="47" t="str">
        <f>HYPERLINK("http://www.lbd.dcc.ufmg.br/bdbcomp/servlet/Trabalho?id=7697","Desenvolvimento Distribuído de Software com Captive Centers.")</f>
        <v>Desenvolvimento Distribuído de Software com Captive Centers.</v>
      </c>
      <c r="C29" s="10">
        <v>2009</v>
      </c>
      <c r="D29" s="10" t="s">
        <v>88</v>
      </c>
      <c r="E29" s="10" t="s">
        <v>95</v>
      </c>
      <c r="F29" s="10" t="s">
        <v>96</v>
      </c>
      <c r="G29" s="10" t="s">
        <v>173</v>
      </c>
      <c r="H29" s="11" t="s">
        <v>174</v>
      </c>
      <c r="I29" s="10">
        <v>2</v>
      </c>
    </row>
    <row r="30" spans="1:9" ht="175.5" customHeight="1">
      <c r="A30" s="8" t="s">
        <v>33</v>
      </c>
      <c r="B30" s="12" t="str">
        <f>HYPERLINK("http://www.lbd.dcc.ufmg.br/bdbcomp/servlet/Trabalho?id=7699"," DiSEN-Updater: Um Mecanismo de Atualização Dinâmica de Ferramentas para um Ambiente de Desenvolvimento Distribuído de Software")</f>
        <v> DiSEN-Updater: Um Mecanismo de Atualização Dinâmica de Ferramentas para um Ambiente de Desenvolvimento Distribuído de Software</v>
      </c>
      <c r="C30" s="10">
        <v>2009</v>
      </c>
      <c r="D30" s="10" t="s">
        <v>88</v>
      </c>
      <c r="E30" s="10" t="s">
        <v>95</v>
      </c>
      <c r="F30" s="10" t="s">
        <v>152</v>
      </c>
      <c r="G30" s="10" t="s">
        <v>153</v>
      </c>
      <c r="H30" s="11" t="s">
        <v>175</v>
      </c>
      <c r="I30" s="10">
        <v>2</v>
      </c>
    </row>
    <row r="31" spans="1:9" ht="175.5" customHeight="1">
      <c r="A31" s="8" t="s">
        <v>31</v>
      </c>
      <c r="B31" s="12" t="str">
        <f>HYPERLINK("http://www.lbd.dcc.ufmg.br/bdbcomp/servlet/Trabalho?id=7700","Aplicação de Apoio Computacional Baseado em Processos de Negócio e Serviços Web para o Desenvolvimento Distribuído de Software")</f>
        <v>Aplicação de Apoio Computacional Baseado em Processos de Negócio e Serviços Web para o Desenvolvimento Distribuído de Software</v>
      </c>
      <c r="C31" s="10">
        <v>2009</v>
      </c>
      <c r="D31" s="10" t="s">
        <v>88</v>
      </c>
      <c r="E31" s="48" t="s">
        <v>176</v>
      </c>
      <c r="F31" s="10" t="s">
        <v>177</v>
      </c>
      <c r="G31" s="10" t="s">
        <v>178</v>
      </c>
      <c r="H31" s="11" t="s">
        <v>179</v>
      </c>
      <c r="I31" s="10">
        <v>4</v>
      </c>
    </row>
    <row r="32" spans="1:9" ht="175.5" customHeight="1">
      <c r="A32" s="8" t="s">
        <v>30</v>
      </c>
      <c r="B32" s="12" t="str">
        <f>HYPERLINK("http://www.lbd.dcc.ufmg.br/bdbcomp/servlet/Trabalho?id=7701","Ferramenta Open-Source para Apoio ao Uso do Scrum por Equipes Distribuídas.")</f>
        <v>Ferramenta Open-Source para Apoio ao Uso do Scrum por Equipes Distribuídas.</v>
      </c>
      <c r="C32" s="10">
        <v>2009</v>
      </c>
      <c r="D32" s="10" t="s">
        <v>88</v>
      </c>
      <c r="E32" s="10" t="s">
        <v>180</v>
      </c>
      <c r="F32" s="10" t="s">
        <v>181</v>
      </c>
      <c r="G32" s="10" t="s">
        <v>182</v>
      </c>
      <c r="H32" s="11" t="s">
        <v>183</v>
      </c>
      <c r="I32" s="10">
        <v>3</v>
      </c>
    </row>
    <row r="33" spans="1:9" ht="175.5" customHeight="1">
      <c r="A33" s="8" t="s">
        <v>35</v>
      </c>
      <c r="B33" s="12" t="str">
        <f>HYPERLINK("http://www.lbd.dcc.ufmg.br/bdbcomp/servlet/Trabalho?id=7702"," Uma Arquitetura para o Gerenciamento de Artefatos de Testes Desenvolvidos por Equipes Distribuídas.")</f>
        <v> Uma Arquitetura para o Gerenciamento de Artefatos de Testes Desenvolvidos por Equipes Distribuídas.</v>
      </c>
      <c r="C33" s="10">
        <v>2009</v>
      </c>
      <c r="D33" s="10" t="s">
        <v>88</v>
      </c>
      <c r="E33" s="10" t="s">
        <v>184</v>
      </c>
      <c r="F33" s="10" t="s">
        <v>185</v>
      </c>
      <c r="G33" s="48" t="s">
        <v>186</v>
      </c>
      <c r="H33" s="11" t="s">
        <v>187</v>
      </c>
      <c r="I33" s="10">
        <v>2</v>
      </c>
    </row>
    <row r="34" spans="1:9" ht="175.5" customHeight="1">
      <c r="A34" s="8" t="s">
        <v>29</v>
      </c>
      <c r="B34" s="47" t="str">
        <f>HYPERLINK("http://www.lbd.dcc.ufmg.br/bdbcomp/servlet/Trabalho?id=7703","Estimativa de Esforço em Projetos de DDS. ")</f>
        <v>Estimativa de Esforço em Projetos de DDS. </v>
      </c>
      <c r="C34" s="10">
        <v>2009</v>
      </c>
      <c r="D34" s="10" t="s">
        <v>88</v>
      </c>
      <c r="E34" s="10" t="s">
        <v>95</v>
      </c>
      <c r="F34" s="10" t="s">
        <v>96</v>
      </c>
      <c r="G34" s="10" t="s">
        <v>173</v>
      </c>
      <c r="H34" s="11" t="s">
        <v>188</v>
      </c>
      <c r="I34" s="10">
        <v>7</v>
      </c>
    </row>
    <row r="35" spans="1:9" ht="175.5" customHeight="1">
      <c r="A35" s="8" t="s">
        <v>32</v>
      </c>
      <c r="B35" s="12" t="str">
        <f>HYPERLINK("http://www.lbd.dcc.ufmg.br/bdbcomp/servlet/Trabalho?id=7704","Proposta de Boas Práticas no Processo de Comunicação em Projetos Distribuídos")</f>
        <v>Proposta de Boas Práticas no Processo de Comunicação em Projetos Distribuídos</v>
      </c>
      <c r="C35" s="10">
        <v>2009</v>
      </c>
      <c r="D35" s="10" t="s">
        <v>88</v>
      </c>
      <c r="E35" s="10" t="s">
        <v>189</v>
      </c>
      <c r="F35" s="10" t="s">
        <v>190</v>
      </c>
      <c r="G35" s="48" t="s">
        <v>191</v>
      </c>
      <c r="H35" s="11" t="s">
        <v>192</v>
      </c>
      <c r="I35" s="10">
        <v>6</v>
      </c>
    </row>
    <row r="36" spans="1:9" ht="175.5" customHeight="1">
      <c r="A36" s="11" t="s">
        <v>48</v>
      </c>
      <c r="B36" s="12" t="str">
        <f>HYPERLINK("http://www.lbd.dcc.ufmg.br/bdbcomp/servlet/Trabalho?id=13823","Global Software Engineering e o seu impacto na área de Reuso de Software. Quais são as Oportunidades e os Desafios?.")</f>
        <v>Global Software Engineering e o seu impacto na área de Reuso de Software. Quais são as Oportunidades e os Desafios?.</v>
      </c>
      <c r="C36" s="10">
        <v>2010</v>
      </c>
      <c r="D36" s="17" t="s">
        <v>88</v>
      </c>
      <c r="E36" s="17" t="s">
        <v>193</v>
      </c>
      <c r="F36" s="17" t="s">
        <v>194</v>
      </c>
      <c r="G36" s="17" t="s">
        <v>195</v>
      </c>
      <c r="H36" s="18" t="s">
        <v>196</v>
      </c>
      <c r="I36" s="17">
        <v>1</v>
      </c>
    </row>
    <row r="37" spans="1:9" ht="175.5" customHeight="1">
      <c r="A37" s="8" t="s">
        <v>52</v>
      </c>
      <c r="B37" s="12" t="str">
        <f>HYPERLINK("http://www.lbd.dcc.ufmg.br/bdbcomp/servlet/Trabalho?id=13825","Modelos de Colaboração no Desenvolvimento Distribuído de Software: uma Revisão Sistemática da Literatura")</f>
        <v>Modelos de Colaboração no Desenvolvimento Distribuído de Software: uma Revisão Sistemática da Literatura</v>
      </c>
      <c r="C37" s="10">
        <v>2010</v>
      </c>
      <c r="D37" s="17" t="s">
        <v>88</v>
      </c>
      <c r="E37" s="17" t="s">
        <v>197</v>
      </c>
      <c r="F37" s="17" t="s">
        <v>198</v>
      </c>
      <c r="G37" s="17" t="s">
        <v>199</v>
      </c>
      <c r="H37" s="18" t="s">
        <v>200</v>
      </c>
      <c r="I37" s="17">
        <v>6</v>
      </c>
    </row>
    <row r="38" spans="1:9" ht="175.5" customHeight="1">
      <c r="A38" s="8" t="s">
        <v>41</v>
      </c>
      <c r="B38" s="12" t="str">
        <f>HYPERLINK("http://www.lbd.dcc.ufmg.br/bdbcomp/servlet/Trabalho?id=13826","OntoDiSEN: uma ontologia para apoiar o desenvolvimento distribu´?do de software. ")</f>
        <v>OntoDiSEN: uma ontologia para apoiar o desenvolvimento distribu´?do de software. </v>
      </c>
      <c r="C38" s="10">
        <v>2010</v>
      </c>
      <c r="D38" s="10" t="s">
        <v>88</v>
      </c>
      <c r="E38" s="10" t="s">
        <v>101</v>
      </c>
      <c r="F38" s="10" t="s">
        <v>201</v>
      </c>
      <c r="G38" s="10" t="s">
        <v>202</v>
      </c>
      <c r="H38" s="11" t="s">
        <v>203</v>
      </c>
      <c r="I38" s="17">
        <v>4</v>
      </c>
    </row>
    <row r="39" spans="1:9" ht="175.5" customHeight="1">
      <c r="A39" s="8" t="s">
        <v>54</v>
      </c>
      <c r="B39" s="12" t="str">
        <f>HYPERLINK("http://www.lbd.dcc.ufmg.br/bdbcomp/servlet/Trabalho?id=13830"," Uso de Ontologia no Estabelecimento de Contratos Eletrônicos para Processos Interorganizacionais em DDS.")</f>
        <v> Uso de Ontologia no Estabelecimento de Contratos Eletrônicos para Processos Interorganizacionais em DDS.</v>
      </c>
      <c r="C39" s="10">
        <v>2010</v>
      </c>
      <c r="D39" s="10" t="s">
        <v>88</v>
      </c>
      <c r="E39" s="10" t="s">
        <v>184</v>
      </c>
      <c r="F39" s="10" t="s">
        <v>204</v>
      </c>
      <c r="G39" s="10" t="s">
        <v>205</v>
      </c>
      <c r="H39" s="11" t="s">
        <v>206</v>
      </c>
      <c r="I39" s="17">
        <v>2</v>
      </c>
    </row>
    <row r="40" spans="1:9" ht="175.5" customHeight="1">
      <c r="A40" s="8" t="s">
        <v>49</v>
      </c>
      <c r="B40" s="12" t="str">
        <f>HYPERLINK("http://www.lbd.dcc.ufmg.br/bdbcomp/servlet/Trabalho?id=13828"," Recomendacoes para a Gestao do Desenvolvimento de Software com Equipes Distribu?das")</f>
        <v> Recomendacoes para a Gestao do Desenvolvimento de Software com Equipes Distribu?das</v>
      </c>
      <c r="C40" s="10">
        <v>2010</v>
      </c>
      <c r="D40" s="10" t="s">
        <v>88</v>
      </c>
      <c r="E40" s="10" t="s">
        <v>101</v>
      </c>
      <c r="F40" s="10" t="s">
        <v>152</v>
      </c>
      <c r="G40" s="19" t="s">
        <v>207</v>
      </c>
      <c r="H40" s="11" t="s">
        <v>208</v>
      </c>
      <c r="I40" s="17">
        <v>4</v>
      </c>
    </row>
    <row r="41" spans="1:9" ht="175.5" customHeight="1">
      <c r="A41" s="8" t="s">
        <v>51</v>
      </c>
      <c r="B41" s="47" t="str">
        <f>HYPERLINK("http://www.lbd.dcc.ufmg.br/bdbcomp/servlet/Trabalho?id=13821"," Desafios nas Fases do ciclo de vida de Projetos Distribuídos.")</f>
        <v> Desafios nas Fases do ciclo de vida de Projetos Distribuídos.</v>
      </c>
      <c r="C41" s="10">
        <v>2010</v>
      </c>
      <c r="D41" s="10" t="s">
        <v>88</v>
      </c>
      <c r="E41" s="10" t="s">
        <v>209</v>
      </c>
      <c r="F41" s="10" t="s">
        <v>210</v>
      </c>
      <c r="G41" s="10" t="s">
        <v>211</v>
      </c>
      <c r="H41" s="11" t="s">
        <v>212</v>
      </c>
      <c r="I41" s="17">
        <v>6</v>
      </c>
    </row>
    <row r="42" spans="1:9" ht="175.5" customHeight="1">
      <c r="A42" s="8" t="s">
        <v>53</v>
      </c>
      <c r="B42" s="12" t="str">
        <f>HYPERLINK("http://www.lbd.dcc.ufmg.br/bdbcomp/servlet/Trabalho?id=13829","Um Framework de Recomendação para Alocação de Equipes de Desenvolvimento em Projetos Distribuídos de Linhas de Produto de Software")</f>
        <v>Um Framework de Recomendação para Alocação de Equipes de Desenvolvimento em Projetos Distribuídos de Linhas de Produto de Software</v>
      </c>
      <c r="C42" s="10">
        <v>2010</v>
      </c>
      <c r="D42" s="10" t="s">
        <v>88</v>
      </c>
      <c r="E42" s="10" t="s">
        <v>129</v>
      </c>
      <c r="F42" s="10" t="s">
        <v>130</v>
      </c>
      <c r="G42" s="10" t="s">
        <v>213</v>
      </c>
      <c r="H42" s="11" t="s">
        <v>214</v>
      </c>
      <c r="I42" s="17">
        <v>4</v>
      </c>
    </row>
    <row r="43" spans="1:9" ht="175.5" customHeight="1">
      <c r="A43" s="11" t="s">
        <v>37</v>
      </c>
      <c r="B43" s="47" t="str">
        <f>HYPERLINK("http://www.lbd.dcc.ufmg.br/bdbcomp/servlet/Trabalho?id=13824","M3DS: um modelo de dinâmica de desenvolvimento distribuído de software")</f>
        <v>M3DS: um modelo de dinâmica de desenvolvimento distribuído de software</v>
      </c>
      <c r="C43" s="10">
        <v>2010</v>
      </c>
      <c r="D43" s="10" t="s">
        <v>88</v>
      </c>
      <c r="E43" s="10" t="s">
        <v>101</v>
      </c>
      <c r="F43" s="10" t="s">
        <v>215</v>
      </c>
      <c r="G43" s="10" t="s">
        <v>216</v>
      </c>
      <c r="H43" s="11" t="s">
        <v>217</v>
      </c>
      <c r="I43" s="17">
        <v>1</v>
      </c>
    </row>
    <row r="44" spans="1:9" ht="175.5" customHeight="1">
      <c r="A44" s="8" t="s">
        <v>42</v>
      </c>
      <c r="B44" s="47" t="str">
        <f>HYPERLINK("http://www.lbd.dcc.ufmg.br/bdbcomp/servlet/Trabalho?id=13818","Alocando Equipes Distribuídas com base em Aspectos Não-Técnicos")</f>
        <v>Alocando Equipes Distribuídas com base em Aspectos Não-Técnicos</v>
      </c>
      <c r="C44" s="10">
        <v>2010</v>
      </c>
      <c r="D44" s="10" t="s">
        <v>88</v>
      </c>
      <c r="E44" s="10" t="s">
        <v>129</v>
      </c>
      <c r="F44" s="10" t="s">
        <v>130</v>
      </c>
      <c r="G44" s="10" t="s">
        <v>218</v>
      </c>
      <c r="H44" s="11" t="s">
        <v>219</v>
      </c>
      <c r="I44" s="17">
        <v>2</v>
      </c>
    </row>
    <row r="45" spans="1:9" ht="175.5" customHeight="1">
      <c r="A45" s="8" t="s">
        <v>50</v>
      </c>
      <c r="B45" s="12" t="str">
        <f>HYPERLINK("http://www.lbd.dcc.ufmg.br/bdbcomp/servlet/Trabalho?id=13819","Classificando organizações de Desenvolvimento Distribuído de Software no modelo de capacidade WAVE")</f>
        <v>Classificando organizações de Desenvolvimento Distribuído de Software no modelo de capacidade WAVE</v>
      </c>
      <c r="C45" s="10">
        <v>2010</v>
      </c>
      <c r="D45" s="10" t="s">
        <v>88</v>
      </c>
      <c r="E45" s="10" t="s">
        <v>95</v>
      </c>
      <c r="F45" s="10" t="s">
        <v>96</v>
      </c>
      <c r="G45" s="10" t="s">
        <v>220</v>
      </c>
      <c r="H45" s="11" t="s">
        <v>221</v>
      </c>
      <c r="I45" s="17">
        <v>3</v>
      </c>
    </row>
    <row r="46" spans="1:9" ht="175.5" customHeight="1">
      <c r="A46" s="8" t="s">
        <v>47</v>
      </c>
      <c r="B46" s="12" t="str">
        <f>HYPERLINK("http://www.lbd.dcc.ufmg.br/bdbcomp/servlet/Trabalho?id=13820","Desafios e Boas Práticas para o Gerenciamento de Projetos no Desenvolvimento Distribuído de Software")</f>
        <v>Desafios e Boas Práticas para o Gerenciamento de Projetos no Desenvolvimento Distribuído de Software</v>
      </c>
      <c r="C46" s="10">
        <v>2010</v>
      </c>
      <c r="D46" s="10" t="s">
        <v>88</v>
      </c>
      <c r="E46" s="10" t="s">
        <v>222</v>
      </c>
      <c r="F46" s="10" t="s">
        <v>223</v>
      </c>
      <c r="G46" s="10" t="s">
        <v>224</v>
      </c>
      <c r="H46" s="11" t="s">
        <v>225</v>
      </c>
      <c r="I46" s="17">
        <v>4</v>
      </c>
    </row>
    <row r="47" spans="1:9" ht="175.5" customHeight="1">
      <c r="A47" s="8" t="s">
        <v>39</v>
      </c>
      <c r="B47" s="12" t="str">
        <f>HYPERLINK("http://www.lbd.dcc.ufmg.br/bdbcomp/servlet/Trabalho?id=13822","Dificuldades, Fatores e Ferramentas no Gerenciamento da Comunicação em projetos de Desenvolvimento Distribuído de Software: uma Revisão Sistemática da Literatura.")</f>
        <v>Dificuldades, Fatores e Ferramentas no Gerenciamento da Comunicação em projetos de Desenvolvimento Distribuído de Software: uma Revisão Sistemática da Literatura.</v>
      </c>
      <c r="C47" s="10">
        <v>2010</v>
      </c>
      <c r="D47" s="10" t="s">
        <v>88</v>
      </c>
      <c r="E47" s="10" t="s">
        <v>90</v>
      </c>
      <c r="F47" s="10" t="s">
        <v>91</v>
      </c>
      <c r="G47" s="20" t="s">
        <v>226</v>
      </c>
      <c r="H47" s="11" t="s">
        <v>227</v>
      </c>
      <c r="I47" s="17">
        <v>4</v>
      </c>
    </row>
    <row r="48" spans="1:9" ht="175.5" customHeight="1">
      <c r="A48" s="11" t="s">
        <v>38</v>
      </c>
      <c r="B48" s="47" t="str">
        <f>HYPERLINK("http://www.lbd.dcc.ufmg.br/bdbcomp/servlet/Trabalho?id=13827","Os princípios ágeis na dinâmica do desenvolvimento distribuído de software")</f>
        <v>Os princípios ágeis na dinâmica do desenvolvimento distribuído de software</v>
      </c>
      <c r="C48" s="10">
        <v>2010</v>
      </c>
      <c r="D48" s="10" t="s">
        <v>88</v>
      </c>
      <c r="E48" s="10" t="s">
        <v>101</v>
      </c>
      <c r="F48" s="10" t="s">
        <v>215</v>
      </c>
      <c r="G48" s="10" t="s">
        <v>216</v>
      </c>
      <c r="H48" s="11" t="s">
        <v>228</v>
      </c>
      <c r="I48" s="17">
        <v>1</v>
      </c>
    </row>
    <row r="49" spans="1:9" ht="175.5" customHeight="1">
      <c r="A49" s="8" t="s">
        <v>64</v>
      </c>
      <c r="B49" s="12" t="str">
        <f>HYPERLINK("http://www.lbd.dcc.ufmg.br/bdbcomp/servlet/Trabalho?id=13712"," Follow-the-Sun: Um Processo para Minimizar as Dificuldades de Projetos que Adotam esta Estratégia")</f>
        <v> Follow-the-Sun: Um Processo para Minimizar as Dificuldades de Projetos que Adotam esta Estratégia</v>
      </c>
      <c r="C49" s="10">
        <v>2011</v>
      </c>
      <c r="D49" s="10" t="s">
        <v>88</v>
      </c>
      <c r="E49" s="10" t="s">
        <v>95</v>
      </c>
      <c r="F49" s="10" t="s">
        <v>96</v>
      </c>
      <c r="G49" s="10" t="s">
        <v>220</v>
      </c>
      <c r="H49" s="11" t="s">
        <v>229</v>
      </c>
      <c r="I49" s="17">
        <v>2</v>
      </c>
    </row>
    <row r="50" spans="1:9" ht="175.5" customHeight="1">
      <c r="A50" s="8" t="s">
        <v>58</v>
      </c>
      <c r="B50" s="12" t="str">
        <f>HYPERLINK("http://www.lbd.dcc.ufmg.br/bdbcomp/servlet/Trabalho?id=13715"," Uso de Atributos Não-técnicos na Alocação de Equipes em Projetos de Desenvolvimento Distribuído de Software. ")</f>
        <v> Uso de Atributos Não-técnicos na Alocação de Equipes em Projetos de Desenvolvimento Distribuído de Software. </v>
      </c>
      <c r="C50" s="10">
        <v>2011</v>
      </c>
      <c r="D50" s="10" t="s">
        <v>88</v>
      </c>
      <c r="E50" s="10" t="s">
        <v>129</v>
      </c>
      <c r="F50" s="10" t="s">
        <v>130</v>
      </c>
      <c r="G50" s="10" t="s">
        <v>213</v>
      </c>
      <c r="H50" s="11" t="s">
        <v>230</v>
      </c>
      <c r="I50" s="17">
        <v>2</v>
      </c>
    </row>
    <row r="51" spans="1:9" ht="175.5" customHeight="1">
      <c r="A51" s="8" t="s">
        <v>65</v>
      </c>
      <c r="B51" s="12" t="str">
        <f>HYPERLINK("http://www.lbd.dcc.ufmg.br/bdbcomp/servlet/Trabalho?id=13711"," Desmistificando o Desenvolvimento de Software Follow-the-Sun: Caracterização e Lições Aprendidas.")</f>
        <v> Desmistificando o Desenvolvimento de Software Follow-the-Sun: Caracterização e Lições Aprendidas.</v>
      </c>
      <c r="C51" s="10">
        <v>2011</v>
      </c>
      <c r="D51" s="10" t="s">
        <v>88</v>
      </c>
      <c r="E51" s="10" t="s">
        <v>95</v>
      </c>
      <c r="F51" s="10" t="s">
        <v>96</v>
      </c>
      <c r="G51" s="10" t="s">
        <v>220</v>
      </c>
      <c r="H51" s="11" t="s">
        <v>231</v>
      </c>
      <c r="I51" s="17">
        <v>3</v>
      </c>
    </row>
    <row r="52" spans="1:9" ht="175.5" customHeight="1">
      <c r="A52" s="8" t="s">
        <v>57</v>
      </c>
      <c r="B52" s="12" t="str">
        <f>HYPERLINK("http://www.lbd.dcc.ufmg.br/bdbcomp/servlet/Trabalho?id=13710"," Alocação de Tarefas em Projetos de Desenvolvimento Distribuído de Software: Análise das Soluções Existentes")</f>
        <v> Alocação de Tarefas em Projetos de Desenvolvimento Distribuído de Software: Análise das Soluções Existentes</v>
      </c>
      <c r="C52" s="10">
        <v>2011</v>
      </c>
      <c r="D52" s="10" t="s">
        <v>88</v>
      </c>
      <c r="E52" s="10" t="s">
        <v>232</v>
      </c>
      <c r="F52" s="10" t="s">
        <v>233</v>
      </c>
      <c r="G52" s="10" t="s">
        <v>234</v>
      </c>
      <c r="H52" s="11" t="s">
        <v>235</v>
      </c>
      <c r="I52" s="17">
        <v>4</v>
      </c>
    </row>
    <row r="53" spans="1:9" ht="175.5" customHeight="1">
      <c r="A53" s="8" t="s">
        <v>56</v>
      </c>
      <c r="B53" s="12" t="str">
        <f>HYPERLINK("http://www.lbd.dcc.ufmg.br/bdbcomp/servlet/Trabalho?id=13709"," A Utilização de Práticas Scrum no Desenvolvimento de Software com Equipes Grandes e Distribuídas: um Relato de Experiência")</f>
        <v> A Utilização de Práticas Scrum no Desenvolvimento de Software com Equipes Grandes e Distribuídas: um Relato de Experiência</v>
      </c>
      <c r="C53" s="10">
        <v>2011</v>
      </c>
      <c r="D53" s="10" t="s">
        <v>88</v>
      </c>
      <c r="E53" s="10" t="s">
        <v>209</v>
      </c>
      <c r="F53" s="10" t="s">
        <v>236</v>
      </c>
      <c r="G53" s="10" t="s">
        <v>237</v>
      </c>
      <c r="H53" s="11" t="s">
        <v>238</v>
      </c>
      <c r="I53" s="17">
        <v>6</v>
      </c>
    </row>
    <row r="54" spans="1:9" ht="175.5" customHeight="1">
      <c r="A54" s="8" t="s">
        <v>66</v>
      </c>
      <c r="B54" s="12" t="str">
        <f>HYPERLINK("http://www.lbd.dcc.ufmg.br/bdbcomp/servlet/Trabalho?id=13713","Uma Abordagem Baseada em Lógica Nebulosa para Seleção de Equipes Distribuídas Tecnicamente Qualificadas")</f>
        <v>Uma Abordagem Baseada em Lógica Nebulosa para Seleção de Equipes Distribuídas Tecnicamente Qualificadas</v>
      </c>
      <c r="C54" s="10">
        <v>2011</v>
      </c>
      <c r="D54" s="10" t="s">
        <v>88</v>
      </c>
      <c r="E54" s="10" t="s">
        <v>129</v>
      </c>
      <c r="F54" s="10" t="s">
        <v>130</v>
      </c>
      <c r="G54" s="10" t="s">
        <v>131</v>
      </c>
      <c r="H54" s="11" t="s">
        <v>239</v>
      </c>
      <c r="I54" s="17">
        <v>2</v>
      </c>
    </row>
    <row r="55" spans="1:9" ht="175.5" customHeight="1">
      <c r="A55" s="8" t="s">
        <v>59</v>
      </c>
      <c r="B55" s="47" t="str">
        <f>HYPERLINK("http://www.lbd.dcc.ufmg.br/bdbcomp/servlet/Trabalho?id=13714"," Uma abordagem distribu?da para o Desenvolvimento Orientado a Modelos")</f>
        <v> Uma abordagem distribu?da para o Desenvolvimento Orientado a Modelos</v>
      </c>
      <c r="C55" s="10">
        <v>2011</v>
      </c>
      <c r="D55" s="10" t="s">
        <v>88</v>
      </c>
      <c r="E55" s="10" t="s">
        <v>184</v>
      </c>
      <c r="F55" s="10" t="s">
        <v>204</v>
      </c>
      <c r="G55" s="10" t="s">
        <v>205</v>
      </c>
      <c r="H55" s="11" t="s">
        <v>242</v>
      </c>
      <c r="I55" s="17">
        <v>3</v>
      </c>
    </row>
    <row r="56" spans="1:9" ht="175.5" customHeight="1">
      <c r="A56" s="8" t="s">
        <v>70</v>
      </c>
      <c r="B56" s="12" t="str">
        <f>HYPERLINK("http://www.lbd.dcc.ufmg.br/bdbcomp/servlet/Trabalho?id=13811","Elicitation of Communication Inherent Risks in Distributed Software Development. ")</f>
        <v>Elicitation of Communication Inherent Risks in Distributed Software Development. </v>
      </c>
      <c r="C56" s="10">
        <v>2012</v>
      </c>
      <c r="D56" s="10" t="s">
        <v>55</v>
      </c>
      <c r="E56" s="10" t="s">
        <v>209</v>
      </c>
      <c r="F56" s="10" t="s">
        <v>210</v>
      </c>
      <c r="G56" s="10" t="s">
        <v>211</v>
      </c>
      <c r="H56" s="11" t="s">
        <v>244</v>
      </c>
      <c r="I56" s="17">
        <v>4</v>
      </c>
    </row>
    <row r="57" spans="1:9" ht="175.5" customHeight="1">
      <c r="A57" s="8" t="s">
        <v>68</v>
      </c>
      <c r="B57" s="12" t="str">
        <f>HYPERLINK("http://www.lbd.dcc.ufmg.br/bdbcomp/servlet/Trabalho?id=13812"," Knowledge and Contextual Information Management in Global Software Development: Challenges and Perspectives")</f>
        <v> Knowledge and Contextual Information Management in Global Software Development: Challenges and Perspectives</v>
      </c>
      <c r="C57" s="10">
        <v>2012</v>
      </c>
      <c r="D57" s="10" t="s">
        <v>55</v>
      </c>
      <c r="E57" s="10" t="s">
        <v>101</v>
      </c>
      <c r="F57" s="10" t="s">
        <v>152</v>
      </c>
      <c r="G57" s="10" t="s">
        <v>207</v>
      </c>
      <c r="H57" s="11" t="s">
        <v>250</v>
      </c>
      <c r="I57" s="17">
        <v>7</v>
      </c>
    </row>
    <row r="58" spans="1:9" ht="175.5" customHeight="1">
      <c r="A58" s="8" t="s">
        <v>69</v>
      </c>
      <c r="B58" s="47" t="str">
        <f>HYPERLINK("http://www.lbd.dcc.ufmg.br/bdbcomp/servlet/Trabalho?id=13813"," Motivational Factors for Distributed Software Development Teams")</f>
        <v> Motivational Factors for Distributed Software Development Teams</v>
      </c>
      <c r="C58" s="10">
        <v>2012</v>
      </c>
      <c r="D58" s="10" t="s">
        <v>55</v>
      </c>
      <c r="E58" s="10" t="s">
        <v>90</v>
      </c>
      <c r="F58" s="10" t="s">
        <v>91</v>
      </c>
      <c r="G58" s="10" t="s">
        <v>226</v>
      </c>
      <c r="H58" s="11" t="s">
        <v>252</v>
      </c>
      <c r="I58" s="17">
        <v>6</v>
      </c>
    </row>
    <row r="59" spans="1:9" ht="175.5" customHeight="1">
      <c r="A59" s="8" t="s">
        <v>67</v>
      </c>
      <c r="B59" s="12" t="str">
        <f>HYPERLINK("http://www.lbd.dcc.ufmg.br/bdbcomp/servlet/Trabalho?id=13814","Ontologies supporting the Distributed Software Development: a Systematic Literature Review.")</f>
        <v>Ontologies supporting the Distributed Software Development: a Systematic Literature Review.</v>
      </c>
      <c r="C59" s="10">
        <v>2012</v>
      </c>
      <c r="D59" s="10" t="s">
        <v>55</v>
      </c>
      <c r="E59" s="10" t="s">
        <v>253</v>
      </c>
      <c r="F59" s="10" t="s">
        <v>254</v>
      </c>
      <c r="G59" s="10" t="s">
        <v>255</v>
      </c>
      <c r="H59" s="11" t="s">
        <v>256</v>
      </c>
      <c r="I59" s="17">
        <v>5</v>
      </c>
    </row>
    <row r="60" spans="1:9" ht="175.5" customHeight="1">
      <c r="A60" s="8" t="s">
        <v>71</v>
      </c>
      <c r="B60" s="12" t="str">
        <f>HYPERLINK("http://www.lbd.dcc.ufmg.br/bdbcomp/servlet/Trabalho?id=13815","ReuseECOS: An Approach to Support Global Software Development through Software Ecosystems")</f>
        <v>ReuseECOS: An Approach to Support Global Software Development through Software Ecosystems</v>
      </c>
      <c r="C60" s="10">
        <v>2012</v>
      </c>
      <c r="D60" s="10" t="s">
        <v>55</v>
      </c>
      <c r="E60" s="10" t="s">
        <v>110</v>
      </c>
      <c r="F60" s="10" t="s">
        <v>111</v>
      </c>
      <c r="G60" s="10" t="s">
        <v>257</v>
      </c>
      <c r="H60" s="11" t="s">
        <v>258</v>
      </c>
      <c r="I60" s="17">
        <v>2</v>
      </c>
    </row>
    <row r="61" spans="1:9" ht="175.5" customHeight="1">
      <c r="A61" s="11" t="s">
        <v>72</v>
      </c>
      <c r="B61" s="12" t="str">
        <f>HYPERLINK("http://www.lbd.dcc.ufmg.br/bdbcomp/servlet/Trabalho?id=13816","Simulated co-location in distributed software development: An experience report. ")</f>
        <v>Simulated co-location in distributed software development: An experience report. </v>
      </c>
      <c r="C61" s="10">
        <v>2012</v>
      </c>
      <c r="D61" s="10" t="s">
        <v>55</v>
      </c>
      <c r="E61" s="10" t="s">
        <v>95</v>
      </c>
      <c r="F61" s="10" t="s">
        <v>259</v>
      </c>
      <c r="G61" s="10" t="s">
        <v>220</v>
      </c>
      <c r="H61" s="11" t="s">
        <v>260</v>
      </c>
      <c r="I61" s="17">
        <v>1</v>
      </c>
    </row>
    <row r="62" spans="1:9" ht="175.5" customHeight="1">
      <c r="A62" s="11" t="s">
        <v>77</v>
      </c>
      <c r="B62" s="12" t="str">
        <f>HYPERLINK("http://cbsoft2013.unb.br/wp-content/uploads/2013/10/WDDS1.pdf","ANALYSING REQUIREMENTS NEGOTIATION IN SOFTWARE ECOSYSTEMS WITH MULTI-AGENT TECHNIQUES")</f>
        <v>ANALYSING REQUIREMENTS NEGOTIATION IN SOFTWARE ECOSYSTEMS WITH MULTI-AGENT TECHNIQUES</v>
      </c>
      <c r="C62" s="10">
        <v>2013</v>
      </c>
      <c r="D62" s="10" t="s">
        <v>55</v>
      </c>
      <c r="E62" s="10" t="s">
        <v>90</v>
      </c>
      <c r="F62" s="10" t="s">
        <v>261</v>
      </c>
      <c r="G62" s="48" t="s">
        <v>262</v>
      </c>
      <c r="H62" s="11" t="s">
        <v>263</v>
      </c>
      <c r="I62" s="10">
        <v>4</v>
      </c>
    </row>
    <row r="63" spans="1:9" ht="175.5" customHeight="1">
      <c r="A63" s="11" t="s">
        <v>73</v>
      </c>
      <c r="B63" s="47" t="str">
        <f>HYPERLINK("http://cbsoft2013.unb.br/wp-content/uploads/2013/10/WDDS1.pdf","AN EMPIRICAL STUDY ABOUT TESTING IN A DISTRIBUTED SOFTWARE PROJECT")</f>
        <v>AN EMPIRICAL STUDY ABOUT TESTING IN A DISTRIBUTED SOFTWARE PROJECT</v>
      </c>
      <c r="C63" s="10">
        <v>2013</v>
      </c>
      <c r="D63" s="10" t="s">
        <v>55</v>
      </c>
      <c r="E63" s="10" t="s">
        <v>80</v>
      </c>
      <c r="F63" s="10" t="s">
        <v>81</v>
      </c>
      <c r="H63" s="11" t="s">
        <v>264</v>
      </c>
      <c r="I63" s="10"/>
    </row>
    <row r="64" spans="1:9" ht="175.5" customHeight="1">
      <c r="A64" s="11" t="s">
        <v>76</v>
      </c>
      <c r="B64" s="12" t="str">
        <f>HYPERLINK("http://cbsoft2013.unb.br/wp-content/uploads/2013/10/WDDS1.pdf","A UTILIZAÇÃO DA PROGRAMAÇÃO EM PAR DISTRIBUÍDA NO ENSINO DE PROGRAMAÇÃO")</f>
        <v>A UTILIZAÇÃO DA PROGRAMAÇÃO EM PAR DISTRIBUÍDA NO ENSINO DE PROGRAMAÇÃO</v>
      </c>
      <c r="C64" s="10">
        <v>2013</v>
      </c>
      <c r="D64" s="10" t="s">
        <v>88</v>
      </c>
      <c r="E64" s="10" t="s">
        <v>95</v>
      </c>
      <c r="F64" s="10" t="s">
        <v>96</v>
      </c>
      <c r="G64" s="10" t="s">
        <v>97</v>
      </c>
      <c r="H64" s="11" t="s">
        <v>265</v>
      </c>
      <c r="I64" s="17">
        <v>2</v>
      </c>
    </row>
    <row r="65" spans="1:9" ht="175.5" customHeight="1">
      <c r="A65" s="11" t="s">
        <v>99</v>
      </c>
      <c r="B65" s="12" t="str">
        <f>HYPERLINK("http://cbsoft2013.unb.br/wp-content/uploads/2013/10/WDDS1.pdf","EXPERIÊNCIA EM DESENVOLVIMENTO DISTRIBUÍDO DE SOFTWARE (DDS) EM PROCESSO ITERATIVO DE DESENVOLVIMENTO")</f>
        <v>EXPERIÊNCIA EM DESENVOLVIMENTO DISTRIBUÍDO DE SOFTWARE (DDS) EM PROCESSO ITERATIVO DE DESENVOLVIMENTO</v>
      </c>
      <c r="C65" s="10">
        <v>2013</v>
      </c>
      <c r="D65" s="10" t="s">
        <v>88</v>
      </c>
      <c r="E65" s="10" t="s">
        <v>243</v>
      </c>
      <c r="F65" s="10" t="s">
        <v>266</v>
      </c>
      <c r="G65" s="48" t="s">
        <v>267</v>
      </c>
      <c r="H65" s="11" t="s">
        <v>268</v>
      </c>
      <c r="I65" s="10">
        <v>2</v>
      </c>
    </row>
    <row r="66" spans="1:9" ht="175.5" customHeight="1">
      <c r="A66" s="11" t="s">
        <v>87</v>
      </c>
      <c r="B66" s="47" t="str">
        <f>HYPERLINK("http://cbsoft2013.unb.br/wp-content/uploads/2013/10/WDDS1.pdf","DESENVOLVIMENTO DISTRIBUÍDO DE SOFTWARE COM SCRUM")</f>
        <v>DESENVOLVIMENTO DISTRIBUÍDO DE SOFTWARE COM SCRUM</v>
      </c>
      <c r="C66" s="10">
        <v>2013</v>
      </c>
      <c r="D66" s="10" t="s">
        <v>88</v>
      </c>
      <c r="E66" s="10" t="s">
        <v>101</v>
      </c>
      <c r="F66" s="10" t="s">
        <v>215</v>
      </c>
      <c r="G66" s="48" t="s">
        <v>269</v>
      </c>
      <c r="H66" s="11" t="s">
        <v>270</v>
      </c>
      <c r="I66" s="10">
        <v>3</v>
      </c>
    </row>
    <row r="67" spans="1:9" ht="175.5" customHeight="1">
      <c r="A67" s="11" t="s">
        <v>78</v>
      </c>
      <c r="B67" s="12" t="str">
        <f>HYPERLINK("http://cbsoft2013.unb.br/wp-content/uploads/2013/10/WDDS1.pdf","ANALISANDO AS CONTRIBUIÇÕES DE DESENVOLVEDORES BRASILEIROS EM PROJETOS DISTRIBUÍDOS DE SOFTWARE OPEN-SOURCE UM ESTUDO INICIAL")</f>
        <v>ANALISANDO AS CONTRIBUIÇÕES DE DESENVOLVEDORES BRASILEIROS EM PROJETOS DISTRIBUÍDOS DE SOFTWARE OPEN-SOURCE UM ESTUDO INICIAL</v>
      </c>
      <c r="C67" s="10">
        <v>2013</v>
      </c>
      <c r="D67" s="10" t="s">
        <v>88</v>
      </c>
      <c r="E67" s="10" t="s">
        <v>90</v>
      </c>
      <c r="F67" s="10" t="s">
        <v>271</v>
      </c>
      <c r="G67" s="48" t="s">
        <v>272</v>
      </c>
      <c r="H67" s="11" t="s">
        <v>273</v>
      </c>
      <c r="I67" s="10">
        <v>2</v>
      </c>
    </row>
    <row r="68" spans="1:9" ht="175.5" customHeight="1">
      <c r="A68" s="11" t="s">
        <v>79</v>
      </c>
      <c r="B68" s="12" t="str">
        <f>HYPERLINK("http://cbsoft2013.unb.br/wp-content/uploads/2013/10/WDDS1.pdf","REFLEXÕES SOBRE COMUNICAÇÃO NO DESENVOLVIMENTO DISTRIBUÍDO NO CONTEXTO DE ECOSSISTEMAS DE SOFTWARE")</f>
        <v>REFLEXÕES SOBRE COMUNICAÇÃO NO DESENVOLVIMENTO DISTRIBUÍDO NO CONTEXTO DE ECOSSISTEMAS DE SOFTWARE</v>
      </c>
      <c r="C68" s="10">
        <v>2013</v>
      </c>
      <c r="D68" s="10" t="s">
        <v>88</v>
      </c>
      <c r="E68" s="10" t="s">
        <v>274</v>
      </c>
      <c r="F68" s="10" t="s">
        <v>275</v>
      </c>
      <c r="H68" s="11" t="s">
        <v>276</v>
      </c>
      <c r="I68" s="10"/>
    </row>
    <row r="69" spans="1:9" ht="175.5" customHeight="1">
      <c r="A69" s="11" t="s">
        <v>100</v>
      </c>
      <c r="B69" s="12" t="str">
        <f>HYPERLINK("http://cbsoft2013.unb.br/wp-content/uploads/2013/10/WDDS1.pdf","ELEMENTOS QUE IMPACTAM O PLANEJAMENTO DE TESTES EM AMBIENTES DE DESENVOLVIMENTO DISTRIBUÍDO NO CONTEXTO DE ECOSSISTEMAS DE SOFTWARE")</f>
        <v>ELEMENTOS QUE IMPACTAM O PLANEJAMENTO DE TESTES EM AMBIENTES DE DESENVOLVIMENTO DISTRIBUÍDO NO CONTEXTO DE ECOSSISTEMAS DE SOFTWARE</v>
      </c>
      <c r="C69" s="10">
        <v>2013</v>
      </c>
      <c r="D69" s="10" t="s">
        <v>88</v>
      </c>
      <c r="E69" s="10" t="s">
        <v>277</v>
      </c>
      <c r="F69" s="10" t="s">
        <v>278</v>
      </c>
      <c r="H69" s="11" t="s">
        <v>279</v>
      </c>
      <c r="I69" s="10"/>
    </row>
    <row r="70" spans="1:9" ht="175.5" customHeight="1">
      <c r="A70" s="11" t="s">
        <v>94</v>
      </c>
      <c r="B70" s="12" t="str">
        <f>HYPERLINK("http://cbsoft2013.unb.br/wp-content/uploads/2013/10/WDDS1.pdf","DESENVOLVIMENTO DE HANDOFFS EM PROJETOS DE SOFTWARE FOLLOW-THE-SUN: UM RELATO DE EXPERIÊNCIA")</f>
        <v>DESENVOLVIMENTO DE HANDOFFS EM PROJETOS DE SOFTWARE FOLLOW-THE-SUN: UM RELATO DE EXPERIÊNCIA</v>
      </c>
      <c r="C70" s="10">
        <v>2013</v>
      </c>
      <c r="D70" s="10" t="s">
        <v>88</v>
      </c>
      <c r="E70" s="10" t="s">
        <v>95</v>
      </c>
      <c r="F70" s="10" t="s">
        <v>96</v>
      </c>
      <c r="H70" s="11" t="s">
        <v>280</v>
      </c>
      <c r="I70" s="10"/>
    </row>
    <row r="71" spans="1:9" ht="175.5" customHeight="1">
      <c r="A71" s="11" t="s">
        <v>74</v>
      </c>
      <c r="B71" s="12" t="str">
        <f>HYPERLINK("http://cbsoft2013.unb.br/wp-content/uploads/2013/10/WDDS1.pdf","COLLABCODE - FERRAMENTA PARA APOIO AO DESENVOLVIMENTO DISTRIBUÍDO DE SOFTWARE")</f>
        <v>COLLABCODE - FERRAMENTA PARA APOIO AO DESENVOLVIMENTO DISTRIBUÍDO DE SOFTWARE</v>
      </c>
      <c r="C71" s="10">
        <v>2013</v>
      </c>
      <c r="D71" s="10" t="s">
        <v>88</v>
      </c>
      <c r="E71" s="10" t="s">
        <v>281</v>
      </c>
      <c r="F71" s="10" t="s">
        <v>282</v>
      </c>
      <c r="H71" s="11" t="s">
        <v>283</v>
      </c>
      <c r="I71" s="10"/>
    </row>
    <row r="72" spans="1:9" ht="175.5" customHeight="1">
      <c r="A72" s="11" t="s">
        <v>83</v>
      </c>
      <c r="B72" s="12" t="str">
        <f>HYPERLINK("http://cbsoft2013.unb.br/wp-content/uploads/2013/10/WDDS1.pdf","FERRAMENTAS WEB 2.0 COMO SUPORTE A COMUNICAÇÃO EM DESENVOLVIMENTO DISTRIBUÍDO DE SOFTWARE")</f>
        <v>FERRAMENTAS WEB 2.0 COMO SUPORTE A COMUNICAÇÃO EM DESENVOLVIMENTO DISTRIBUÍDO DE SOFTWARE</v>
      </c>
      <c r="C72" s="10">
        <v>2013</v>
      </c>
      <c r="D72" s="10" t="s">
        <v>88</v>
      </c>
      <c r="E72" s="10" t="s">
        <v>284</v>
      </c>
      <c r="F72" s="10" t="s">
        <v>285</v>
      </c>
      <c r="H72" s="11" t="s">
        <v>286</v>
      </c>
      <c r="I72" s="10"/>
    </row>
    <row r="73" spans="1:9" ht="175.5" customHeight="1">
      <c r="A73" s="11" t="s">
        <v>84</v>
      </c>
      <c r="B73" s="12" t="str">
        <f>HYPERLINK("http://cbsoft2013.unb.br/wp-content/uploads/2013/10/WDDS1.pdf","DESENVOLVENDO UM MODELO DE MATURIDADE PARA COMUNICAÇÃO EM DESENVOLVIMENTO DISTRIBUÍDO DE SOFTWARE")</f>
        <v>DESENVOLVENDO UM MODELO DE MATURIDADE PARA COMUNICAÇÃO EM DESENVOLVIMENTO DISTRIBUÍDO DE SOFTWARE</v>
      </c>
      <c r="C73" s="10">
        <v>2013</v>
      </c>
      <c r="D73" s="10" t="s">
        <v>88</v>
      </c>
      <c r="E73" s="10" t="s">
        <v>287</v>
      </c>
      <c r="F73" s="10" t="s">
        <v>223</v>
      </c>
      <c r="H73" s="11" t="s">
        <v>288</v>
      </c>
      <c r="I73" s="10"/>
    </row>
    <row r="74" spans="1:9" ht="175.5" customHeight="1">
      <c r="A74" s="11" t="s">
        <v>85</v>
      </c>
      <c r="B74" s="12" t="str">
        <f>HYPERLINK("http://cbsoft2013.unb.br/wp-content/uploads/2013/10/WDDS1.pdf","DESAFIOS NO GERENCIAMENTO DE CONFLITOS EM PROJETOS DE DESENVOLVIMENTO DISTRIBUÍDO DE SOFTWARE")</f>
        <v>DESAFIOS NO GERENCIAMENTO DE CONFLITOS EM PROJETOS DE DESENVOLVIMENTO DISTRIBUÍDO DE SOFTWARE</v>
      </c>
      <c r="C74" s="10">
        <v>2013</v>
      </c>
      <c r="D74" s="10" t="s">
        <v>88</v>
      </c>
      <c r="E74" s="10" t="s">
        <v>90</v>
      </c>
      <c r="F74" s="10" t="s">
        <v>91</v>
      </c>
      <c r="H74" s="11" t="s">
        <v>289</v>
      </c>
      <c r="I74" s="10"/>
    </row>
    <row r="75" spans="1:9" ht="175.5" customHeight="1">
      <c r="A75" s="11" t="s">
        <v>106</v>
      </c>
      <c r="B75" s="12" t="str">
        <f>HYPERLINK("http://cbsoft2013.unb.br/wp-content/uploads/2013/10/WDDS1.pdf","PLANEJAMENTO DE TESTE NO DESENVOLVIMENTO DISTRIBUÍDO DE SOFTWARE: UMA REVISÃO SISTEMÁTICA SOBRE FERRAMENTAS")</f>
        <v>PLANEJAMENTO DE TESTE NO DESENVOLVIMENTO DISTRIBUÍDO DE SOFTWARE: UMA REVISÃO SISTEMÁTICA SOBRE FERRAMENTAS</v>
      </c>
      <c r="C75" s="10">
        <v>2013</v>
      </c>
      <c r="D75" s="10" t="s">
        <v>88</v>
      </c>
      <c r="E75" s="10" t="s">
        <v>184</v>
      </c>
      <c r="F75" s="10" t="s">
        <v>290</v>
      </c>
      <c r="H75" s="11" t="s">
        <v>291</v>
      </c>
      <c r="I75" s="10"/>
    </row>
    <row r="76" spans="1:9" ht="175.5" customHeight="1">
      <c r="A76" s="11" t="s">
        <v>107</v>
      </c>
      <c r="B76" s="12" t="str">
        <f>HYPERLINK("http://cbsoft2013.unb.br/wp-content/uploads/2013/10/WDDS1.pdf","USO DE MAPAS MENTAIS COMO FERRAMENTA AUXILIAR AO DESENVOLVIMENTO DISTRIBUÍDO DE SOFTWARE")</f>
        <v>USO DE MAPAS MENTAIS COMO FERRAMENTA AUXILIAR AO DESENVOLVIMENTO DISTRIBUÍDO DE SOFTWARE</v>
      </c>
      <c r="C76" s="10">
        <v>2013</v>
      </c>
      <c r="D76" s="10" t="s">
        <v>88</v>
      </c>
      <c r="E76" s="10" t="s">
        <v>101</v>
      </c>
      <c r="F76" s="10" t="s">
        <v>215</v>
      </c>
      <c r="H76" s="11" t="s">
        <v>292</v>
      </c>
      <c r="I76" s="10"/>
    </row>
    <row r="77" spans="1:9" ht="175.5" customHeight="1">
      <c r="A77" s="11" t="s">
        <v>89</v>
      </c>
      <c r="B77" s="12" t="str">
        <f>HYPERLINK("http://cbsoft2013.unb.br/wp-content/uploads/2013/10/WDDS1.pdf","PROPOSTA DE CENÁRIOS GENÉRICOS PARA DEFINIÇÃO DA COMUNICAÇÃO EM SÍTIOS DE DESENVOLVIMENTO DISTRIBUÍDO DE SOFTWARE")</f>
        <v>PROPOSTA DE CENÁRIOS GENÉRICOS PARA DEFINIÇÃO DA COMUNICAÇÃO EM SÍTIOS DE DESENVOLVIMENTO DISTRIBUÍDO DE SOFTWARE</v>
      </c>
      <c r="C77" s="10">
        <v>2013</v>
      </c>
      <c r="D77" s="10" t="s">
        <v>88</v>
      </c>
      <c r="E77" s="10" t="s">
        <v>101</v>
      </c>
      <c r="F77" s="10" t="s">
        <v>215</v>
      </c>
      <c r="H77" s="11" t="s">
        <v>293</v>
      </c>
      <c r="I77" s="10"/>
    </row>
    <row r="78" spans="1:9" ht="175.5" customHeight="1">
      <c r="A78" s="11" t="s">
        <v>75</v>
      </c>
      <c r="B78" s="12" t="str">
        <f>HYPERLINK("http://cbsoft2013.unb.br/wp-content/uploads/2013/10/WDDS1.pdf","DESAFIOS NA SISTEMATIZAÇÃO DAS EVIDÊNCIAS EMPÍRICAS EM DESENVOLVIMENTO DISTRIBUÍDO DE SOFTWARE")</f>
        <v>DESAFIOS NA SISTEMATIZAÇÃO DAS EVIDÊNCIAS EMPÍRICAS EM DESENVOLVIMENTO DISTRIBUÍDO DE SOFTWARE</v>
      </c>
      <c r="C78" s="10">
        <v>2013</v>
      </c>
      <c r="D78" s="10" t="s">
        <v>88</v>
      </c>
      <c r="E78" s="10" t="s">
        <v>95</v>
      </c>
      <c r="F78" s="10" t="s">
        <v>96</v>
      </c>
      <c r="H78" s="11" t="s">
        <v>294</v>
      </c>
      <c r="I78" s="10"/>
    </row>
    <row r="79" spans="1:9" ht="175.5" customHeight="1">
      <c r="A79" s="11" t="s">
        <v>125</v>
      </c>
      <c r="B79" s="12" t="str">
        <f>HYPERLINK("http://www.ic.ufal.br/evento/cbsoft2014/anais/wdes_v1_p.pdf","On the Identification of Factors that Promote High-Performance Projects in Distributed Development")</f>
        <v>On the Identification of Factors that Promote High-Performance Projects in Distributed Development</v>
      </c>
      <c r="C79" s="10">
        <v>2014</v>
      </c>
      <c r="D79" s="10" t="s">
        <v>55</v>
      </c>
      <c r="E79" s="10" t="s">
        <v>95</v>
      </c>
      <c r="F79" s="10" t="s">
        <v>96</v>
      </c>
      <c r="H79" s="11" t="s">
        <v>295</v>
      </c>
      <c r="I79" s="10"/>
    </row>
    <row r="80" spans="1:9" ht="175.5" customHeight="1">
      <c r="A80" s="11" t="s">
        <v>117</v>
      </c>
      <c r="B80" s="47" t="str">
        <f>HYPERLINK("http://www.ic.ufal.br/evento/cbsoft2014/anais/wdes_v1_p.pdf","Ecosystem Business Models and Architectures")</f>
        <v>Ecosystem Business Models and Architectures</v>
      </c>
      <c r="C80" s="10">
        <v>2014</v>
      </c>
      <c r="D80" s="10" t="s">
        <v>55</v>
      </c>
      <c r="E80" s="10" t="s">
        <v>296</v>
      </c>
      <c r="F80" s="10" t="s">
        <v>297</v>
      </c>
      <c r="H80" s="11" t="s">
        <v>298</v>
      </c>
      <c r="I80" s="10"/>
    </row>
    <row r="81" spans="1:9" ht="175.5" customHeight="1">
      <c r="A81" s="11" t="s">
        <v>114</v>
      </c>
      <c r="B81" s="47" t="str">
        <f>HYPERLINK("http://www.ic.ufal.br/evento/cbsoft2014/anais/wdes_v1_p.pdf","Towards the Dynamic Evolution of Context-based Systems-ofSystems")</f>
        <v>Towards the Dynamic Evolution of Context-based Systems-ofSystems</v>
      </c>
      <c r="C81" s="10">
        <v>2014</v>
      </c>
      <c r="D81" s="10" t="s">
        <v>55</v>
      </c>
      <c r="E81" s="10" t="s">
        <v>299</v>
      </c>
      <c r="F81" s="10" t="s">
        <v>300</v>
      </c>
      <c r="H81" s="11" t="s">
        <v>301</v>
      </c>
      <c r="I81" s="10"/>
    </row>
    <row r="82" spans="1:9" ht="175.5" customHeight="1">
      <c r="A82" s="11" t="s">
        <v>109</v>
      </c>
      <c r="B82" s="47" t="str">
        <f>HYPERLINK("http://www.ic.ufal.br/evento/cbsoft2014/anais/wdes_v1_p.pdf","Towards the Evaluation of System-of-Systems Software Architectures")</f>
        <v>Towards the Evaluation of System-of-Systems Software Architectures</v>
      </c>
      <c r="C82" s="10">
        <v>2014</v>
      </c>
      <c r="D82" s="10" t="s">
        <v>55</v>
      </c>
      <c r="E82" s="10" t="s">
        <v>302</v>
      </c>
      <c r="F82" s="10" t="s">
        <v>303</v>
      </c>
      <c r="H82" s="11" t="s">
        <v>304</v>
      </c>
      <c r="I82" s="10"/>
    </row>
    <row r="83" spans="1:9" ht="175.5" customHeight="1">
      <c r="A83" s="11" t="s">
        <v>120</v>
      </c>
      <c r="B83" s="47" t="str">
        <f>HYPERLINK("http://www.ic.ufal.br/evento/cbsoft2014/anais/wdes_v1_p.pdf","On the Relations between Systems-of-Systems and Software Ecosystems")</f>
        <v>On the Relations between Systems-of-Systems and Software Ecosystems</v>
      </c>
      <c r="C83" s="10">
        <v>2014</v>
      </c>
      <c r="D83" s="10" t="s">
        <v>55</v>
      </c>
      <c r="E83" s="10" t="s">
        <v>305</v>
      </c>
      <c r="F83" s="10" t="s">
        <v>306</v>
      </c>
      <c r="H83" s="11" t="s">
        <v>307</v>
      </c>
      <c r="I83" s="10"/>
    </row>
    <row r="84" spans="1:9" ht="175.5" customHeight="1">
      <c r="A84" s="11" t="s">
        <v>115</v>
      </c>
      <c r="B84" s="12" t="str">
        <f>HYPERLINK("http://www.ic.ufal.br/evento/cbsoft2014/anais/wdes_v1_p.pdf","Um Framework para Gerenciamento de Riscos em Projetos de Desenvolvimento Distribuído de Software")</f>
        <v>Um Framework para Gerenciamento de Riscos em Projetos de Desenvolvimento Distribuído de Software</v>
      </c>
      <c r="C84" s="10">
        <v>2014</v>
      </c>
      <c r="D84" s="10" t="s">
        <v>88</v>
      </c>
      <c r="E84" s="10" t="s">
        <v>308</v>
      </c>
      <c r="F84" s="10" t="s">
        <v>275</v>
      </c>
      <c r="H84" s="11" t="s">
        <v>309</v>
      </c>
      <c r="I84" s="10"/>
    </row>
    <row r="85" spans="1:9" ht="175.5" customHeight="1">
      <c r="A85" s="11" t="s">
        <v>126</v>
      </c>
      <c r="B85" s="12" t="str">
        <f>HYPERLINK("http://www.ic.ufal.br/evento/cbsoft2014/anais/wdes_v1_p.pdf","SECOView: Uma Abordagem Baseada em Visões para Apoiar a Governança de Ecossistemas de Software")</f>
        <v>SECOView: Uma Abordagem Baseada em Visões para Apoiar a Governança de Ecossistemas de Software</v>
      </c>
      <c r="C85" s="10">
        <v>2014</v>
      </c>
      <c r="D85" s="10" t="s">
        <v>88</v>
      </c>
      <c r="E85" s="10" t="s">
        <v>110</v>
      </c>
      <c r="F85" s="10" t="s">
        <v>380</v>
      </c>
      <c r="H85" s="11" t="s">
        <v>310</v>
      </c>
      <c r="I85" s="10"/>
    </row>
    <row r="86" spans="1:9" ht="175.5" customHeight="1">
      <c r="A86" s="11" t="s">
        <v>118</v>
      </c>
      <c r="B86" s="47" t="str">
        <f>HYPERLINK("http://www.ic.ufal.br/evento/cbsoft2014/anais/wdes_v1_p.pdf","Qualidade em Ecossistemas de Software: Desafios e Oportunidades de Pesquisa")</f>
        <v>Qualidade em Ecossistemas de Software: Desafios e Oportunidades de Pesquisa</v>
      </c>
      <c r="C86" s="10">
        <v>2014</v>
      </c>
      <c r="D86" s="10" t="s">
        <v>88</v>
      </c>
      <c r="E86" s="10" t="s">
        <v>381</v>
      </c>
      <c r="F86" s="10" t="s">
        <v>382</v>
      </c>
      <c r="H86" s="11" t="s">
        <v>311</v>
      </c>
      <c r="I86" s="10"/>
    </row>
  </sheetData>
  <hyperlinks>
    <hyperlink ref="B2" r:id="rId1" display="http://www.lbd.dcc.ufmg.br/bdbcomp/servlet/Trabalho?id=6887"/>
    <hyperlink ref="B3" r:id="rId2" display="http://www.lbd.dcc.ufmg.br/bdbcomp/servlet/Trabalho?id=6896"/>
    <hyperlink ref="B4" r:id="rId3" display="http://www.lbd.dcc.ufmg.br/bdbcomp/servlet/Trabalho?id=6886"/>
    <hyperlink ref="B5" r:id="rId4" display="http://www.lbd.dcc.ufmg.br/bdbcomp/servlet/Trabalho?id=6888"/>
    <hyperlink ref="B6" r:id="rId5" display="http://www.lbd.dcc.ufmg.br/bdbcomp/servlet/Trabalho?id=6889"/>
    <hyperlink ref="B7" r:id="rId6" display="http://www.lbd.dcc.ufmg.br/bdbcomp/servlet/Trabalho?id=6890"/>
    <hyperlink ref="B8" r:id="rId7" display="http://www.lbd.dcc.ufmg.br/bdbcomp/servlet/Trabalho?id=6891"/>
    <hyperlink ref="B9" r:id="rId8" display="http://www.lbd.dcc.ufmg.br/bdbcomp/servlet/Trabalho?id=6892"/>
    <hyperlink ref="B10" r:id="rId9" display="http://www.lbd.dcc.ufmg.br/bdbcomp/servlet/Trabalho?id=6893"/>
    <hyperlink ref="B11" r:id="rId10" display="http://www.lbd.dcc.ufmg.br/bdbcomp/servlet/Trabalho?id=6894"/>
    <hyperlink ref="B12" r:id="rId11" display="http://www.lbd.dcc.ufmg.br/bdbcomp/servlet/Trabalho?id=6895"/>
    <hyperlink ref="B13" r:id="rId12" display="http://www.lbd.dcc.ufmg.br/bdbcomp/servlet/Trabalho?id=6897"/>
    <hyperlink ref="B14" r:id="rId13" display="http://www.lbd.dcc.ufmg.br/bdbcomp/servlet/Trabalho?id=7588"/>
    <hyperlink ref="B15" r:id="rId14" display="http://www.lbd.dcc.ufmg.br/bdbcomp/servlet/Trabalho?id=7582"/>
    <hyperlink ref="B16" r:id="rId15" display="http://www.lbd.dcc.ufmg.br/bdbcomp/servlet/Trabalho?id=7583"/>
    <hyperlink ref="B17" r:id="rId16" display="http://www.lbd.dcc.ufmg.br/bdbcomp/servlet/Trabalho?id=7584"/>
    <hyperlink ref="B18" r:id="rId17" display="http://www.lbd.dcc.ufmg.br/bdbcomp/servlet/Trabalho?id=7585"/>
    <hyperlink ref="B19" r:id="rId18" display="http://www.lbd.dcc.ufmg.br/bdbcomp/servlet/Trabalho?id=7586"/>
    <hyperlink ref="B20" r:id="rId19" display="http://www.lbd.dcc.ufmg.br/bdbcomp/servlet/Trabalho?id=7587"/>
    <hyperlink ref="B21" r:id="rId20" display="http://www.lbd.dcc.ufmg.br/bdbcomp/servlet/Trabalho?id=7589"/>
    <hyperlink ref="B22" r:id="rId21" display="http://www.lbd.dcc.ufmg.br/bdbcomp/servlet/Trabalho?id=7590"/>
    <hyperlink ref="B23" r:id="rId22" display="http://www.lbd.dcc.ufmg.br/bdbcomp/servlet/Trabalho?id=7591"/>
    <hyperlink ref="B24" r:id="rId23" display="http://www.lbd.dcc.ufmg.br/bdbcomp/servlet/Trabalho?id=7592"/>
    <hyperlink ref="B25" r:id="rId24" display="http://www.lbd.dcc.ufmg.br/bdbcomp/servlet/Trabalho?id=7593"/>
    <hyperlink ref="B26" r:id="rId25" display="http://www.lbd.dcc.ufmg.br/bdbcomp/servlet/Trabalho?id=7698"/>
    <hyperlink ref="B27" r:id="rId26" display="http://www.lbd.dcc.ufmg.br/bdbcomp/servlet/Trabalho?id=7705"/>
    <hyperlink ref="B28" r:id="rId27" display="http://www.lbd.dcc.ufmg.br/bdbcomp/servlet/Trabalho?id=7696"/>
    <hyperlink ref="B29" r:id="rId28" display="http://www.lbd.dcc.ufmg.br/bdbcomp/servlet/Trabalho?id=7697"/>
    <hyperlink ref="B30" r:id="rId29" display="http://www.lbd.dcc.ufmg.br/bdbcomp/servlet/Trabalho?id=7699"/>
    <hyperlink ref="B31" r:id="rId30" display="http://www.lbd.dcc.ufmg.br/bdbcomp/servlet/Trabalho?id=7700"/>
    <hyperlink ref="B32" r:id="rId31" display="http://www.lbd.dcc.ufmg.br/bdbcomp/servlet/Trabalho?id=7701"/>
    <hyperlink ref="B33" r:id="rId32" display="http://www.lbd.dcc.ufmg.br/bdbcomp/servlet/Trabalho?id=7702"/>
    <hyperlink ref="B34" r:id="rId33" display="http://www.lbd.dcc.ufmg.br/bdbcomp/servlet/Trabalho?id=7703"/>
    <hyperlink ref="B35" r:id="rId34" display="http://www.lbd.dcc.ufmg.br/bdbcomp/servlet/Trabalho?id=7704"/>
    <hyperlink ref="B36" r:id="rId35" display="http://www.lbd.dcc.ufmg.br/bdbcomp/servlet/Trabalho?id=13823"/>
    <hyperlink ref="B37" r:id="rId36" display="http://www.lbd.dcc.ufmg.br/bdbcomp/servlet/Trabalho?id=13825"/>
    <hyperlink ref="B38" r:id="rId37" display="http://www.lbd.dcc.ufmg.br/bdbcomp/servlet/Trabalho?id=13826"/>
    <hyperlink ref="B39" r:id="rId38" display="http://www.lbd.dcc.ufmg.br/bdbcomp/servlet/Trabalho?id=13830"/>
    <hyperlink ref="B40" r:id="rId39" display="http://www.lbd.dcc.ufmg.br/bdbcomp/servlet/Trabalho?id=13828"/>
    <hyperlink ref="B41" r:id="rId40" display="http://www.lbd.dcc.ufmg.br/bdbcomp/servlet/Trabalho?id=13821"/>
    <hyperlink ref="B42" r:id="rId41" display="http://www.lbd.dcc.ufmg.br/bdbcomp/servlet/Trabalho?id=13829"/>
    <hyperlink ref="B43" r:id="rId42" display="http://www.lbd.dcc.ufmg.br/bdbcomp/servlet/Trabalho?id=13824"/>
    <hyperlink ref="B44" r:id="rId43" display="http://www.lbd.dcc.ufmg.br/bdbcomp/servlet/Trabalho?id=13818"/>
    <hyperlink ref="B45" r:id="rId44" display="http://www.lbd.dcc.ufmg.br/bdbcomp/servlet/Trabalho?id=13819"/>
    <hyperlink ref="B46" r:id="rId45" display="http://www.lbd.dcc.ufmg.br/bdbcomp/servlet/Trabalho?id=13820"/>
    <hyperlink ref="B47" r:id="rId46" display="http://www.lbd.dcc.ufmg.br/bdbcomp/servlet/Trabalho?id=13822"/>
    <hyperlink ref="B48" r:id="rId47" display="http://www.lbd.dcc.ufmg.br/bdbcomp/servlet/Trabalho?id=13827"/>
    <hyperlink ref="B49" r:id="rId48" display="http://www.lbd.dcc.ufmg.br/bdbcomp/servlet/Trabalho?id=13712"/>
    <hyperlink ref="B50" r:id="rId49" display="http://www.lbd.dcc.ufmg.br/bdbcomp/servlet/Trabalho?id=13715"/>
    <hyperlink ref="B51" r:id="rId50" display="http://www.lbd.dcc.ufmg.br/bdbcomp/servlet/Trabalho?id=13711"/>
    <hyperlink ref="B52" r:id="rId51" display="http://www.lbd.dcc.ufmg.br/bdbcomp/servlet/Trabalho?id=13710"/>
    <hyperlink ref="B53" r:id="rId52" display="http://www.lbd.dcc.ufmg.br/bdbcomp/servlet/Trabalho?id=13709"/>
    <hyperlink ref="B54" r:id="rId53" display="http://www.lbd.dcc.ufmg.br/bdbcomp/servlet/Trabalho?id=13713"/>
    <hyperlink ref="B55" r:id="rId54" display="http://www.lbd.dcc.ufmg.br/bdbcomp/servlet/Trabalho?id=13714"/>
    <hyperlink ref="B56" r:id="rId55" display="http://www.lbd.dcc.ufmg.br/bdbcomp/servlet/Trabalho?id=13811"/>
    <hyperlink ref="B57" r:id="rId56" display="http://www.lbd.dcc.ufmg.br/bdbcomp/servlet/Trabalho?id=13812"/>
    <hyperlink ref="B58" r:id="rId57" display="http://www.lbd.dcc.ufmg.br/bdbcomp/servlet/Trabalho?id=13813"/>
    <hyperlink ref="B59" r:id="rId58" display="http://www.lbd.dcc.ufmg.br/bdbcomp/servlet/Trabalho?id=13814"/>
    <hyperlink ref="B60" r:id="rId59" display="http://www.lbd.dcc.ufmg.br/bdbcomp/servlet/Trabalho?id=13815"/>
    <hyperlink ref="B61" r:id="rId60" display="http://www.lbd.dcc.ufmg.br/bdbcomp/servlet/Trabalho?id=13816"/>
    <hyperlink ref="B62" r:id="rId61" display="http://cbsoft2013.unb.br/wp-content/uploads/2013/10/WDDS1.pdf"/>
    <hyperlink ref="B63" r:id="rId62" display="http://cbsoft2013.unb.br/wp-content/uploads/2013/10/WDDS1.pdf"/>
    <hyperlink ref="B64" r:id="rId63" display="http://cbsoft2013.unb.br/wp-content/uploads/2013/10/WDDS1.pdf"/>
    <hyperlink ref="B65" r:id="rId64" display="http://cbsoft2013.unb.br/wp-content/uploads/2013/10/WDDS1.pdf"/>
    <hyperlink ref="B66" r:id="rId65" display="http://cbsoft2013.unb.br/wp-content/uploads/2013/10/WDDS1.pdf"/>
    <hyperlink ref="B67" r:id="rId66" display="http://cbsoft2013.unb.br/wp-content/uploads/2013/10/WDDS1.pdf"/>
    <hyperlink ref="B68" r:id="rId67" display="http://cbsoft2013.unb.br/wp-content/uploads/2013/10/WDDS1.pdf"/>
    <hyperlink ref="B69" r:id="rId68" display="http://cbsoft2013.unb.br/wp-content/uploads/2013/10/WDDS1.pdf"/>
    <hyperlink ref="B70" r:id="rId69" display="http://cbsoft2013.unb.br/wp-content/uploads/2013/10/WDDS1.pdf"/>
    <hyperlink ref="B71" r:id="rId70" display="http://cbsoft2013.unb.br/wp-content/uploads/2013/10/WDDS1.pdf"/>
    <hyperlink ref="B72" r:id="rId71" display="http://cbsoft2013.unb.br/wp-content/uploads/2013/10/WDDS1.pdf"/>
    <hyperlink ref="B73" r:id="rId72" display="http://cbsoft2013.unb.br/wp-content/uploads/2013/10/WDDS1.pdf"/>
    <hyperlink ref="B74" r:id="rId73" display="http://cbsoft2013.unb.br/wp-content/uploads/2013/10/WDDS1.pdf"/>
    <hyperlink ref="B75" r:id="rId74" display="http://cbsoft2013.unb.br/wp-content/uploads/2013/10/WDDS1.pdf"/>
    <hyperlink ref="B76" r:id="rId75" display="http://cbsoft2013.unb.br/wp-content/uploads/2013/10/WDDS1.pdf"/>
    <hyperlink ref="B77" r:id="rId76" display="http://cbsoft2013.unb.br/wp-content/uploads/2013/10/WDDS1.pdf"/>
    <hyperlink ref="B78" r:id="rId77" display="http://cbsoft2013.unb.br/wp-content/uploads/2013/10/WDDS1.pdf"/>
    <hyperlink ref="B79" r:id="rId78" display="http://www.ic.ufal.br/evento/cbsoft2014/anais/wdes_v1_p.pdf"/>
    <hyperlink ref="B80" r:id="rId79" display="http://www.ic.ufal.br/evento/cbsoft2014/anais/wdes_v1_p.pdf"/>
    <hyperlink ref="B81" r:id="rId80" display="http://www.ic.ufal.br/evento/cbsoft2014/anais/wdes_v1_p.pdf"/>
    <hyperlink ref="B82" r:id="rId81" display="http://www.ic.ufal.br/evento/cbsoft2014/anais/wdes_v1_p.pdf"/>
    <hyperlink ref="B83" r:id="rId82" display="http://www.ic.ufal.br/evento/cbsoft2014/anais/wdes_v1_p.pdf"/>
    <hyperlink ref="B84" r:id="rId83" display="http://www.ic.ufal.br/evento/cbsoft2014/anais/wdes_v1_p.pdf"/>
    <hyperlink ref="B85" r:id="rId84" display="http://www.ic.ufal.br/evento/cbsoft2014/anais/wdes_v1_p.pdf"/>
    <hyperlink ref="B86" r:id="rId85" display="http://www.ic.ufal.br/evento/cbsoft2014/anais/wdes_v1_p.pdf"/>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E12" sqref="E12"/>
    </sheetView>
  </sheetViews>
  <sheetFormatPr defaultColWidth="15.140625" defaultRowHeight="15" customHeight="1"/>
  <cols>
    <col min="1" max="2" width="7.5703125" customWidth="1"/>
    <col min="3" max="3" width="29.140625" customWidth="1"/>
    <col min="4" max="26" width="7.5703125" customWidth="1"/>
  </cols>
  <sheetData>
    <row r="1" spans="1:7">
      <c r="A1" s="5" t="s">
        <v>2</v>
      </c>
      <c r="B1" s="5" t="s">
        <v>138</v>
      </c>
      <c r="C1" s="13" t="s">
        <v>139</v>
      </c>
      <c r="G1" s="13" t="s">
        <v>144</v>
      </c>
    </row>
    <row r="2" spans="1:7">
      <c r="A2" s="5">
        <v>2007</v>
      </c>
      <c r="B2" s="5" t="s">
        <v>145</v>
      </c>
      <c r="C2" s="5">
        <v>12</v>
      </c>
      <c r="G2" s="14">
        <f>SUM(C2:C9)/8</f>
        <v>10.5</v>
      </c>
    </row>
    <row r="3" spans="1:7">
      <c r="A3" s="5">
        <v>2008</v>
      </c>
      <c r="B3" s="5" t="s">
        <v>145</v>
      </c>
      <c r="C3" s="5">
        <v>11</v>
      </c>
    </row>
    <row r="4" spans="1:7">
      <c r="A4" s="5">
        <v>2009</v>
      </c>
      <c r="B4" s="5" t="s">
        <v>145</v>
      </c>
      <c r="C4" s="5">
        <v>10</v>
      </c>
    </row>
    <row r="5" spans="1:7">
      <c r="A5" s="5">
        <v>2010</v>
      </c>
      <c r="B5" s="5" t="s">
        <v>145</v>
      </c>
      <c r="C5" s="5">
        <v>13</v>
      </c>
    </row>
    <row r="6" spans="1:7">
      <c r="A6" s="5">
        <v>2011</v>
      </c>
      <c r="B6" s="5" t="s">
        <v>145</v>
      </c>
      <c r="C6" s="5">
        <v>7</v>
      </c>
    </row>
    <row r="7" spans="1:7">
      <c r="A7" s="5">
        <v>2012</v>
      </c>
      <c r="B7" s="5" t="s">
        <v>145</v>
      </c>
      <c r="C7" s="5">
        <v>6</v>
      </c>
    </row>
    <row r="8" spans="1:7">
      <c r="A8" s="5">
        <v>2013</v>
      </c>
      <c r="B8" s="5" t="s">
        <v>145</v>
      </c>
      <c r="C8" s="5">
        <v>17</v>
      </c>
    </row>
    <row r="9" spans="1:7">
      <c r="A9" s="5">
        <v>2014</v>
      </c>
      <c r="B9" s="5" t="s">
        <v>156</v>
      </c>
      <c r="C9" s="5">
        <v>8</v>
      </c>
    </row>
    <row r="10" spans="1:7">
      <c r="A10" s="15" t="s">
        <v>5</v>
      </c>
      <c r="B10" s="15"/>
      <c r="C10" s="16">
        <f>SUM(C2:C9)</f>
        <v>84</v>
      </c>
    </row>
  </sheetData>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election activeCell="I2" sqref="I2:P3"/>
    </sheetView>
  </sheetViews>
  <sheetFormatPr defaultColWidth="15.140625" defaultRowHeight="15" customHeight="1"/>
  <cols>
    <col min="1" max="2" width="7.5703125" customWidth="1"/>
    <col min="3" max="3" width="10.140625" customWidth="1"/>
    <col min="4" max="7" width="7.5703125" customWidth="1"/>
    <col min="8" max="8" width="10" customWidth="1"/>
    <col min="9" max="26" width="7.5703125" customWidth="1"/>
  </cols>
  <sheetData>
    <row r="1" spans="1:16">
      <c r="A1" s="1" t="s">
        <v>2</v>
      </c>
      <c r="B1" s="1" t="s">
        <v>147</v>
      </c>
      <c r="C1" s="1" t="s">
        <v>148</v>
      </c>
      <c r="D1" s="3"/>
      <c r="H1" s="13"/>
      <c r="I1" s="3">
        <v>2007</v>
      </c>
      <c r="J1" s="3">
        <v>2008</v>
      </c>
      <c r="K1" s="3">
        <v>2009</v>
      </c>
      <c r="L1" s="3">
        <v>2010</v>
      </c>
      <c r="M1" s="3">
        <v>2011</v>
      </c>
      <c r="N1" s="3">
        <v>2012</v>
      </c>
      <c r="O1" s="3">
        <v>2013</v>
      </c>
      <c r="P1" s="3">
        <v>2014</v>
      </c>
    </row>
    <row r="2" spans="1:16">
      <c r="A2" s="3">
        <v>2007</v>
      </c>
      <c r="B2" s="3">
        <v>2</v>
      </c>
      <c r="C2" s="3">
        <v>10</v>
      </c>
      <c r="D2" s="3"/>
      <c r="H2" s="13" t="s">
        <v>147</v>
      </c>
      <c r="I2" s="5">
        <v>2</v>
      </c>
      <c r="J2" s="5">
        <v>1</v>
      </c>
      <c r="K2" s="5">
        <v>2</v>
      </c>
      <c r="L2" s="5">
        <v>0</v>
      </c>
      <c r="M2" s="5">
        <v>0</v>
      </c>
      <c r="N2" s="5">
        <v>6</v>
      </c>
      <c r="O2" s="5">
        <v>2</v>
      </c>
      <c r="P2" s="5">
        <v>5</v>
      </c>
    </row>
    <row r="3" spans="1:16">
      <c r="A3" s="3">
        <v>2008</v>
      </c>
      <c r="B3" s="3">
        <v>1</v>
      </c>
      <c r="C3" s="3">
        <v>11</v>
      </c>
      <c r="D3" s="3"/>
      <c r="H3" s="13" t="s">
        <v>148</v>
      </c>
      <c r="I3" s="5">
        <v>10</v>
      </c>
      <c r="J3" s="5">
        <v>11</v>
      </c>
      <c r="K3" s="5">
        <v>8</v>
      </c>
      <c r="L3" s="5">
        <v>13</v>
      </c>
      <c r="M3" s="5">
        <v>7</v>
      </c>
      <c r="N3" s="5">
        <v>0</v>
      </c>
      <c r="O3" s="5">
        <v>15</v>
      </c>
      <c r="P3" s="5">
        <v>3</v>
      </c>
    </row>
    <row r="4" spans="1:16">
      <c r="A4" s="3">
        <v>2009</v>
      </c>
      <c r="B4" s="3">
        <v>2</v>
      </c>
      <c r="C4" s="3">
        <v>8</v>
      </c>
      <c r="D4" s="3"/>
    </row>
    <row r="5" spans="1:16">
      <c r="A5" s="3">
        <v>2010</v>
      </c>
      <c r="B5" s="3">
        <v>0</v>
      </c>
      <c r="C5" s="3">
        <v>13</v>
      </c>
      <c r="D5" s="3"/>
    </row>
    <row r="6" spans="1:16">
      <c r="A6" s="3">
        <v>2011</v>
      </c>
      <c r="B6" s="3">
        <v>0</v>
      </c>
      <c r="C6" s="3">
        <v>7</v>
      </c>
      <c r="D6" s="3"/>
    </row>
    <row r="7" spans="1:16">
      <c r="A7" s="3">
        <v>2012</v>
      </c>
      <c r="B7" s="3">
        <v>6</v>
      </c>
      <c r="C7" s="3">
        <v>0</v>
      </c>
      <c r="D7" s="3"/>
    </row>
    <row r="8" spans="1:16">
      <c r="A8" s="3">
        <v>2013</v>
      </c>
      <c r="B8" s="3">
        <v>2</v>
      </c>
      <c r="C8" s="3">
        <v>15</v>
      </c>
      <c r="D8" s="3"/>
    </row>
    <row r="9" spans="1:16">
      <c r="A9" s="3">
        <v>2014</v>
      </c>
      <c r="B9" s="3">
        <v>5</v>
      </c>
      <c r="C9" s="3">
        <v>3</v>
      </c>
      <c r="D9" s="3"/>
    </row>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election activeCell="C24" sqref="C24"/>
    </sheetView>
  </sheetViews>
  <sheetFormatPr defaultColWidth="15.140625" defaultRowHeight="15" customHeight="1"/>
  <cols>
    <col min="1" max="1" width="9.7109375" customWidth="1"/>
    <col min="2" max="2" width="15.140625" customWidth="1"/>
    <col min="3" max="26" width="7.5703125" customWidth="1"/>
  </cols>
  <sheetData>
    <row r="1" spans="1:2">
      <c r="A1" s="6" t="s">
        <v>240</v>
      </c>
      <c r="B1" s="45" t="s">
        <v>241</v>
      </c>
    </row>
    <row r="2" spans="1:2">
      <c r="A2" s="10" t="s">
        <v>90</v>
      </c>
      <c r="B2" s="5">
        <v>32</v>
      </c>
    </row>
    <row r="3" spans="1:2">
      <c r="A3" s="10" t="s">
        <v>95</v>
      </c>
      <c r="B3" s="5">
        <v>24</v>
      </c>
    </row>
    <row r="4" spans="1:2">
      <c r="A4" s="10" t="s">
        <v>101</v>
      </c>
      <c r="B4" s="5">
        <v>18</v>
      </c>
    </row>
    <row r="5" spans="1:2">
      <c r="A5" s="10" t="s">
        <v>110</v>
      </c>
      <c r="B5" s="5">
        <v>14</v>
      </c>
    </row>
    <row r="6" spans="1:2">
      <c r="A6" s="10" t="s">
        <v>184</v>
      </c>
      <c r="B6" s="5">
        <v>14</v>
      </c>
    </row>
    <row r="7" spans="1:2">
      <c r="A7" s="10" t="s">
        <v>129</v>
      </c>
      <c r="B7" s="5">
        <v>7</v>
      </c>
    </row>
    <row r="8" spans="1:2">
      <c r="A8" s="10" t="s">
        <v>243</v>
      </c>
      <c r="B8" s="5">
        <v>5</v>
      </c>
    </row>
    <row r="9" spans="1:2">
      <c r="A9" s="10" t="s">
        <v>133</v>
      </c>
      <c r="B9" s="5">
        <v>5</v>
      </c>
    </row>
    <row r="10" spans="1:2">
      <c r="A10" s="10" t="s">
        <v>245</v>
      </c>
      <c r="B10" s="5">
        <v>4</v>
      </c>
    </row>
    <row r="11" spans="1:2">
      <c r="A11" s="10" t="s">
        <v>193</v>
      </c>
      <c r="B11" s="5">
        <v>3</v>
      </c>
    </row>
    <row r="12" spans="1:2">
      <c r="A12" s="10" t="s">
        <v>80</v>
      </c>
      <c r="B12" s="5">
        <v>3</v>
      </c>
    </row>
    <row r="13" spans="1:2">
      <c r="A13" s="10" t="s">
        <v>246</v>
      </c>
      <c r="B13" s="5">
        <v>3</v>
      </c>
    </row>
    <row r="14" spans="1:2">
      <c r="A14" s="10" t="s">
        <v>247</v>
      </c>
      <c r="B14" s="5">
        <v>2</v>
      </c>
    </row>
    <row r="15" spans="1:2">
      <c r="A15" s="10" t="s">
        <v>248</v>
      </c>
      <c r="B15" s="5">
        <v>2</v>
      </c>
    </row>
    <row r="16" spans="1:2">
      <c r="A16" s="10" t="s">
        <v>249</v>
      </c>
      <c r="B16" s="5">
        <v>1</v>
      </c>
    </row>
    <row r="17" spans="1:2">
      <c r="A17" s="10" t="s">
        <v>121</v>
      </c>
      <c r="B17" s="5">
        <v>1</v>
      </c>
    </row>
    <row r="18" spans="1:2">
      <c r="A18" s="10" t="s">
        <v>251</v>
      </c>
      <c r="B18" s="5">
        <v>1</v>
      </c>
    </row>
    <row r="19" spans="1:2">
      <c r="A19" s="10"/>
      <c r="B19" s="5"/>
    </row>
    <row r="20" spans="1:2">
      <c r="A20" s="10"/>
      <c r="B20" s="5"/>
    </row>
    <row r="21" spans="1:2">
      <c r="A21" s="10"/>
      <c r="B21" s="5"/>
    </row>
    <row r="22" spans="1:2">
      <c r="A22" s="10"/>
      <c r="B22" s="5"/>
    </row>
    <row r="23" spans="1:2">
      <c r="A23" s="10"/>
      <c r="B23" s="5"/>
    </row>
    <row r="24" spans="1:2">
      <c r="A24" s="10"/>
      <c r="B24" s="5"/>
    </row>
    <row r="25" spans="1:2">
      <c r="A25" s="10"/>
      <c r="B25" s="5"/>
    </row>
    <row r="26" spans="1:2">
      <c r="A26" s="10"/>
      <c r="B26" s="5"/>
    </row>
    <row r="27" spans="1:2">
      <c r="A27" s="10"/>
      <c r="B27" s="5"/>
    </row>
    <row r="28" spans="1:2">
      <c r="A28" s="10"/>
      <c r="B28" s="5"/>
    </row>
    <row r="29" spans="1:2">
      <c r="A29" s="10"/>
      <c r="B29" s="5"/>
    </row>
    <row r="30" spans="1:2">
      <c r="A30" s="10"/>
      <c r="B30" s="5"/>
    </row>
    <row r="31" spans="1:2">
      <c r="A31" s="10"/>
      <c r="B31" s="5"/>
    </row>
    <row r="32" spans="1:2">
      <c r="A32" s="10"/>
      <c r="B32" s="5"/>
    </row>
    <row r="33" spans="1:2">
      <c r="A33" s="10"/>
      <c r="B33" s="5"/>
    </row>
    <row r="34" spans="1:2">
      <c r="A34" s="10"/>
      <c r="B34" s="5"/>
    </row>
    <row r="35" spans="1:2">
      <c r="A35" s="10"/>
      <c r="B35" s="5"/>
    </row>
    <row r="36" spans="1:2">
      <c r="A36" s="10"/>
      <c r="B36" s="5"/>
    </row>
    <row r="37" spans="1:2">
      <c r="A37" s="10"/>
      <c r="B37" s="5"/>
    </row>
    <row r="38" spans="1:2">
      <c r="A38" s="10"/>
      <c r="B38" s="5"/>
    </row>
    <row r="39" spans="1:2">
      <c r="A39" s="10"/>
      <c r="B39" s="5"/>
    </row>
    <row r="40" spans="1:2">
      <c r="A40" s="10"/>
      <c r="B40" s="5"/>
    </row>
    <row r="41" spans="1:2">
      <c r="A41" s="10"/>
      <c r="B41" s="5"/>
    </row>
    <row r="42" spans="1:2">
      <c r="A42" s="4"/>
      <c r="B42" s="5"/>
    </row>
    <row r="43" spans="1:2">
      <c r="A43" s="4"/>
      <c r="B43" s="5"/>
    </row>
    <row r="44" spans="1:2">
      <c r="A44" s="4"/>
      <c r="B44" s="5"/>
    </row>
    <row r="45" spans="1:2">
      <c r="A45" s="10"/>
      <c r="B45" s="5"/>
    </row>
    <row r="46" spans="1:2">
      <c r="A46" s="10"/>
      <c r="B46" s="5"/>
    </row>
    <row r="47" spans="1:2">
      <c r="A47" s="10"/>
      <c r="B47" s="5"/>
    </row>
    <row r="48" spans="1:2">
      <c r="A48" s="10"/>
      <c r="B48" s="5"/>
    </row>
    <row r="49" spans="1:2">
      <c r="A49" s="10"/>
      <c r="B49" s="5"/>
    </row>
    <row r="50" spans="1:2" ht="15.75" customHeight="1">
      <c r="A50" s="17"/>
      <c r="B50" s="5"/>
    </row>
    <row r="51" spans="1:2" ht="15.75" customHeight="1">
      <c r="A51" s="17"/>
      <c r="B51" s="5"/>
    </row>
    <row r="52" spans="1:2" ht="15.75" customHeight="1">
      <c r="A52" s="17"/>
      <c r="B52" s="5"/>
    </row>
    <row r="53" spans="1:2" ht="15.75" customHeight="1">
      <c r="A53" s="17"/>
      <c r="B53" s="5"/>
    </row>
    <row r="54" spans="1:2" ht="15.75" customHeight="1">
      <c r="A54" s="17"/>
      <c r="B54" s="5"/>
    </row>
    <row r="55" spans="1:2">
      <c r="A55" s="10"/>
      <c r="B55" s="5"/>
    </row>
    <row r="56" spans="1:2">
      <c r="A56" s="10"/>
      <c r="B56" s="5"/>
    </row>
    <row r="57" spans="1:2">
      <c r="A57" s="10"/>
      <c r="B57" s="5"/>
    </row>
    <row r="58" spans="1:2">
      <c r="A58" s="10"/>
      <c r="B58" s="5"/>
    </row>
    <row r="59" spans="1:2">
      <c r="A59" s="10"/>
      <c r="B59" s="5"/>
    </row>
    <row r="60" spans="1:2">
      <c r="A60" s="10"/>
      <c r="B60" s="5"/>
    </row>
    <row r="61" spans="1:2">
      <c r="A61" s="10"/>
      <c r="B61" s="5"/>
    </row>
    <row r="62" spans="1:2">
      <c r="A62" s="10"/>
      <c r="B62" s="5"/>
    </row>
    <row r="63" spans="1:2">
      <c r="A63" s="10"/>
      <c r="B63" s="5"/>
    </row>
    <row r="64" spans="1:2">
      <c r="A64" s="10"/>
      <c r="B64" s="5"/>
    </row>
    <row r="65" spans="1:2">
      <c r="A65" s="10"/>
      <c r="B65" s="5"/>
    </row>
    <row r="66" spans="1:2">
      <c r="A66" s="10"/>
      <c r="B66" s="5"/>
    </row>
    <row r="67" spans="1:2">
      <c r="A67" s="10"/>
      <c r="B67" s="5"/>
    </row>
    <row r="68" spans="1:2">
      <c r="A68" s="10"/>
      <c r="B68" s="5"/>
    </row>
    <row r="69" spans="1:2">
      <c r="A69" s="10"/>
      <c r="B69" s="5"/>
    </row>
    <row r="70" spans="1:2">
      <c r="A70" s="10"/>
      <c r="B70" s="5"/>
    </row>
    <row r="71" spans="1:2">
      <c r="A71" s="10"/>
      <c r="B71" s="5"/>
    </row>
    <row r="72" spans="1:2">
      <c r="A72" s="10"/>
      <c r="B72" s="5"/>
    </row>
    <row r="73" spans="1:2">
      <c r="A73" s="10"/>
      <c r="B73" s="5"/>
    </row>
    <row r="74" spans="1:2">
      <c r="A74" s="10"/>
      <c r="B74" s="5"/>
    </row>
    <row r="75" spans="1:2">
      <c r="A75" s="10"/>
      <c r="B75" s="5"/>
    </row>
    <row r="76" spans="1:2">
      <c r="A76" s="10"/>
      <c r="B76" s="5"/>
    </row>
    <row r="77" spans="1:2">
      <c r="A77" s="10"/>
      <c r="B77" s="5"/>
    </row>
    <row r="78" spans="1:2">
      <c r="A78" s="10"/>
      <c r="B78" s="5"/>
    </row>
    <row r="79" spans="1:2">
      <c r="A79" s="10"/>
      <c r="B79" s="5"/>
    </row>
    <row r="80" spans="1:2">
      <c r="A80" s="10"/>
      <c r="B80" s="5"/>
    </row>
    <row r="81" spans="1:2">
      <c r="A81" s="10"/>
      <c r="B81" s="5"/>
    </row>
    <row r="82" spans="1:2">
      <c r="A82" s="10"/>
      <c r="B82" s="5"/>
    </row>
    <row r="83" spans="1:2">
      <c r="A83" s="10"/>
      <c r="B83" s="5"/>
    </row>
    <row r="84" spans="1:2">
      <c r="A84" s="10"/>
      <c r="B84" s="5"/>
    </row>
    <row r="85" spans="1:2">
      <c r="A85" s="10"/>
      <c r="B85" s="5"/>
    </row>
    <row r="86" spans="1:2">
      <c r="A86" s="10"/>
      <c r="B86" s="5"/>
    </row>
    <row r="87" spans="1:2">
      <c r="A87" s="10"/>
      <c r="B87" s="5"/>
    </row>
    <row r="88" spans="1:2">
      <c r="A88" s="10"/>
      <c r="B88" s="5"/>
    </row>
    <row r="89" spans="1:2">
      <c r="A89" s="10"/>
      <c r="B89" s="5"/>
    </row>
    <row r="90" spans="1:2">
      <c r="A90" s="10"/>
      <c r="B90" s="5"/>
    </row>
    <row r="91" spans="1:2">
      <c r="A91" s="10"/>
      <c r="B91" s="5"/>
    </row>
    <row r="92" spans="1:2">
      <c r="A92" s="10"/>
      <c r="B92" s="5"/>
    </row>
    <row r="93" spans="1:2">
      <c r="A93" s="10"/>
      <c r="B93" s="5"/>
    </row>
    <row r="94" spans="1:2">
      <c r="A94" s="10"/>
      <c r="B94" s="5"/>
    </row>
    <row r="95" spans="1:2">
      <c r="A95" s="10"/>
      <c r="B95" s="5"/>
    </row>
    <row r="96" spans="1:2">
      <c r="A96" s="10"/>
      <c r="B96" s="5"/>
    </row>
    <row r="97" spans="1:2">
      <c r="A97" s="10"/>
      <c r="B97" s="5"/>
    </row>
    <row r="98" spans="1:2">
      <c r="A98" s="10"/>
      <c r="B98" s="5"/>
    </row>
    <row r="99" spans="1:2">
      <c r="A99" s="10"/>
      <c r="B99" s="5"/>
    </row>
    <row r="100" spans="1:2">
      <c r="A100" s="10"/>
      <c r="B100" s="5"/>
    </row>
    <row r="101" spans="1:2">
      <c r="A101" s="10"/>
      <c r="B101" s="5"/>
    </row>
    <row r="102" spans="1:2">
      <c r="A102" s="10"/>
      <c r="B102" s="5"/>
    </row>
    <row r="103" spans="1:2">
      <c r="A103" s="10"/>
      <c r="B103" s="5"/>
    </row>
    <row r="104" spans="1:2">
      <c r="A104" s="10"/>
      <c r="B104" s="5"/>
    </row>
    <row r="105" spans="1:2">
      <c r="A105" s="10"/>
      <c r="B105" s="5"/>
    </row>
    <row r="106" spans="1:2">
      <c r="A106" s="10"/>
      <c r="B106" s="5"/>
    </row>
    <row r="107" spans="1:2">
      <c r="A107" s="10"/>
      <c r="B107" s="5"/>
    </row>
    <row r="108" spans="1:2">
      <c r="A108" s="10"/>
      <c r="B108" s="5"/>
    </row>
    <row r="109" spans="1:2">
      <c r="A109" s="10"/>
      <c r="B109" s="5"/>
    </row>
    <row r="110" spans="1:2">
      <c r="A110" s="10"/>
      <c r="B110" s="5"/>
    </row>
    <row r="111" spans="1:2">
      <c r="A111" s="10"/>
      <c r="B111" s="5"/>
    </row>
    <row r="112" spans="1:2">
      <c r="A112" s="10"/>
      <c r="B112" s="5"/>
    </row>
    <row r="113" spans="1:2">
      <c r="A113" s="10"/>
      <c r="B113" s="5"/>
    </row>
    <row r="114" spans="1:2">
      <c r="A114" s="10"/>
      <c r="B114" s="5"/>
    </row>
    <row r="115" spans="1:2">
      <c r="A115" s="10"/>
      <c r="B115" s="5"/>
    </row>
    <row r="116" spans="1:2">
      <c r="A116" s="10"/>
      <c r="B116" s="5"/>
    </row>
    <row r="117" spans="1:2">
      <c r="A117" s="10"/>
      <c r="B117" s="5"/>
    </row>
    <row r="118" spans="1:2">
      <c r="A118" s="10"/>
      <c r="B118" s="5"/>
    </row>
    <row r="119" spans="1:2">
      <c r="A119" s="10"/>
      <c r="B119" s="5"/>
    </row>
    <row r="120" spans="1:2">
      <c r="A120" s="10"/>
      <c r="B120" s="5"/>
    </row>
    <row r="121" spans="1:2">
      <c r="B121" s="5"/>
    </row>
    <row r="122" spans="1:2">
      <c r="B122" s="5"/>
    </row>
    <row r="123" spans="1:2">
      <c r="B123" s="5"/>
    </row>
    <row r="124" spans="1:2">
      <c r="B124" s="5"/>
    </row>
    <row r="125" spans="1:2">
      <c r="B125" s="5"/>
    </row>
    <row r="126" spans="1:2">
      <c r="B126" s="5"/>
    </row>
    <row r="127" spans="1:2">
      <c r="B127" s="5"/>
    </row>
    <row r="128" spans="1:2">
      <c r="B128" s="5"/>
    </row>
    <row r="129" spans="2:2">
      <c r="B129" s="5"/>
    </row>
    <row r="130" spans="2:2">
      <c r="B130" s="5"/>
    </row>
    <row r="131" spans="2:2">
      <c r="B131" s="5"/>
    </row>
    <row r="132" spans="2:2">
      <c r="B132" s="5"/>
    </row>
    <row r="133" spans="2:2">
      <c r="B133" s="5"/>
    </row>
    <row r="134" spans="2:2">
      <c r="B134" s="5"/>
    </row>
    <row r="135" spans="2:2">
      <c r="B135" s="5"/>
    </row>
    <row r="136" spans="2:2">
      <c r="B136" s="5"/>
    </row>
    <row r="137" spans="2:2">
      <c r="B137" s="5"/>
    </row>
    <row r="138" spans="2:2">
      <c r="B138" s="5"/>
    </row>
    <row r="139" spans="2:2">
      <c r="B139" s="5"/>
    </row>
    <row r="140" spans="2:2">
      <c r="B140" s="5"/>
    </row>
    <row r="141" spans="2:2">
      <c r="B141" s="5"/>
    </row>
    <row r="142" spans="2:2">
      <c r="B142" s="5"/>
    </row>
    <row r="143" spans="2:2">
      <c r="B143" s="5"/>
    </row>
    <row r="144" spans="2:2">
      <c r="B144" s="5"/>
    </row>
    <row r="145" spans="2:2">
      <c r="B145" s="5"/>
    </row>
    <row r="146" spans="2:2">
      <c r="B146" s="5"/>
    </row>
    <row r="147" spans="2:2">
      <c r="B147" s="5"/>
    </row>
    <row r="148" spans="2:2">
      <c r="B148" s="5"/>
    </row>
    <row r="149" spans="2:2">
      <c r="B149" s="5"/>
    </row>
    <row r="150" spans="2:2">
      <c r="B150" s="5"/>
    </row>
    <row r="151" spans="2:2">
      <c r="B151" s="5"/>
    </row>
    <row r="152" spans="2:2">
      <c r="B152" s="5"/>
    </row>
    <row r="153" spans="2:2">
      <c r="B153" s="5"/>
    </row>
    <row r="154" spans="2:2">
      <c r="B154" s="5"/>
    </row>
    <row r="155" spans="2:2">
      <c r="B155" s="5"/>
    </row>
    <row r="156" spans="2:2">
      <c r="B156" s="5"/>
    </row>
    <row r="157" spans="2:2">
      <c r="B157" s="5"/>
    </row>
    <row r="158" spans="2:2">
      <c r="B158" s="5"/>
    </row>
    <row r="159" spans="2:2">
      <c r="B159" s="5"/>
    </row>
    <row r="160" spans="2:2">
      <c r="B160" s="5"/>
    </row>
    <row r="161" spans="2:2">
      <c r="B161" s="5"/>
    </row>
    <row r="162" spans="2:2">
      <c r="B162" s="5"/>
    </row>
    <row r="163" spans="2:2">
      <c r="B163" s="5"/>
    </row>
    <row r="164" spans="2:2">
      <c r="B164" s="5"/>
    </row>
    <row r="165" spans="2:2">
      <c r="B165" s="5"/>
    </row>
    <row r="166" spans="2:2">
      <c r="B166" s="5"/>
    </row>
    <row r="167" spans="2:2">
      <c r="B167" s="5"/>
    </row>
    <row r="168" spans="2:2">
      <c r="B168" s="5"/>
    </row>
    <row r="169" spans="2:2">
      <c r="B169" s="5"/>
    </row>
    <row r="170" spans="2:2">
      <c r="B170" s="5"/>
    </row>
    <row r="171" spans="2:2">
      <c r="B171" s="5"/>
    </row>
    <row r="172" spans="2:2">
      <c r="B172" s="5"/>
    </row>
    <row r="173" spans="2:2">
      <c r="B173" s="5"/>
    </row>
    <row r="174" spans="2:2">
      <c r="B174" s="5"/>
    </row>
    <row r="175" spans="2:2">
      <c r="B175" s="5"/>
    </row>
    <row r="176" spans="2:2">
      <c r="B176" s="5"/>
    </row>
    <row r="177" spans="2:2">
      <c r="B177" s="5"/>
    </row>
    <row r="178" spans="2:2">
      <c r="B178" s="5"/>
    </row>
    <row r="179" spans="2:2">
      <c r="B179" s="5"/>
    </row>
    <row r="180" spans="2:2">
      <c r="B180" s="5"/>
    </row>
    <row r="181" spans="2:2">
      <c r="B181" s="5"/>
    </row>
    <row r="182" spans="2:2">
      <c r="B182" s="5"/>
    </row>
    <row r="183" spans="2:2">
      <c r="B183" s="5"/>
    </row>
    <row r="184" spans="2:2">
      <c r="B184" s="5"/>
    </row>
    <row r="185" spans="2:2">
      <c r="B185" s="5"/>
    </row>
    <row r="186" spans="2:2">
      <c r="B186" s="5"/>
    </row>
    <row r="187" spans="2:2">
      <c r="B187" s="5"/>
    </row>
    <row r="188" spans="2:2">
      <c r="B188" s="5"/>
    </row>
    <row r="189" spans="2:2">
      <c r="B189" s="5"/>
    </row>
    <row r="190" spans="2:2">
      <c r="B190" s="5"/>
    </row>
    <row r="191" spans="2:2">
      <c r="B191" s="5"/>
    </row>
    <row r="192" spans="2:2">
      <c r="B192" s="5"/>
    </row>
    <row r="193" spans="2:2">
      <c r="B193" s="5"/>
    </row>
    <row r="194" spans="2:2">
      <c r="B194" s="5"/>
    </row>
    <row r="195" spans="2:2">
      <c r="B195" s="5"/>
    </row>
    <row r="196" spans="2:2">
      <c r="B196" s="5"/>
    </row>
    <row r="197" spans="2:2">
      <c r="B197" s="5"/>
    </row>
    <row r="198" spans="2:2">
      <c r="B198" s="5"/>
    </row>
    <row r="199" spans="2:2">
      <c r="B199" s="5"/>
    </row>
    <row r="200" spans="2:2">
      <c r="B200" s="5"/>
    </row>
    <row r="201" spans="2:2">
      <c r="B201" s="5"/>
    </row>
    <row r="202" spans="2:2">
      <c r="B202" s="5"/>
    </row>
    <row r="203" spans="2:2">
      <c r="B203" s="5"/>
    </row>
    <row r="204" spans="2:2">
      <c r="B204" s="5"/>
    </row>
    <row r="205" spans="2:2">
      <c r="B205" s="5"/>
    </row>
    <row r="206" spans="2:2">
      <c r="B206" s="5"/>
    </row>
    <row r="207" spans="2:2">
      <c r="B207" s="5"/>
    </row>
    <row r="208" spans="2:2">
      <c r="B208" s="5"/>
    </row>
    <row r="209" spans="2:2">
      <c r="B209" s="5"/>
    </row>
    <row r="210" spans="2:2">
      <c r="B210" s="5"/>
    </row>
    <row r="211" spans="2:2">
      <c r="B211" s="5"/>
    </row>
    <row r="212" spans="2:2">
      <c r="B212" s="5"/>
    </row>
    <row r="213" spans="2:2">
      <c r="B213" s="5"/>
    </row>
    <row r="214" spans="2:2">
      <c r="B214" s="5"/>
    </row>
    <row r="215" spans="2:2">
      <c r="B215" s="5"/>
    </row>
    <row r="216" spans="2:2">
      <c r="B216" s="5"/>
    </row>
    <row r="217" spans="2:2">
      <c r="B217" s="5"/>
    </row>
    <row r="218" spans="2:2">
      <c r="B218" s="5"/>
    </row>
    <row r="219" spans="2:2">
      <c r="B219" s="5"/>
    </row>
    <row r="220" spans="2:2">
      <c r="B220" s="5"/>
    </row>
    <row r="221" spans="2:2">
      <c r="B221" s="5"/>
    </row>
    <row r="222" spans="2:2">
      <c r="B222" s="5"/>
    </row>
    <row r="223" spans="2:2">
      <c r="B223" s="5"/>
    </row>
    <row r="224" spans="2:2">
      <c r="B224" s="5"/>
    </row>
    <row r="225" spans="2:2">
      <c r="B225" s="5"/>
    </row>
    <row r="226" spans="2:2">
      <c r="B226" s="5"/>
    </row>
    <row r="227" spans="2:2">
      <c r="B227" s="5"/>
    </row>
    <row r="228" spans="2:2">
      <c r="B228" s="5"/>
    </row>
    <row r="229" spans="2:2">
      <c r="B229" s="5"/>
    </row>
    <row r="230" spans="2:2">
      <c r="B230" s="5"/>
    </row>
    <row r="231" spans="2:2">
      <c r="B231" s="5"/>
    </row>
    <row r="232" spans="2:2">
      <c r="B232" s="5"/>
    </row>
    <row r="233" spans="2:2">
      <c r="B233" s="5"/>
    </row>
    <row r="234" spans="2:2">
      <c r="B234" s="5"/>
    </row>
    <row r="235" spans="2:2">
      <c r="B235" s="5"/>
    </row>
    <row r="236" spans="2:2">
      <c r="B236" s="5"/>
    </row>
    <row r="237" spans="2:2">
      <c r="B237" s="5"/>
    </row>
    <row r="238" spans="2:2">
      <c r="B238" s="5"/>
    </row>
    <row r="239" spans="2:2">
      <c r="B239" s="5"/>
    </row>
    <row r="240" spans="2:2">
      <c r="B240" s="5"/>
    </row>
    <row r="241" spans="2:2">
      <c r="B241" s="5"/>
    </row>
    <row r="242" spans="2:2">
      <c r="B242" s="5"/>
    </row>
    <row r="243" spans="2:2">
      <c r="B243" s="5"/>
    </row>
    <row r="244" spans="2:2">
      <c r="B244" s="5"/>
    </row>
    <row r="245" spans="2:2">
      <c r="B245" s="5"/>
    </row>
    <row r="246" spans="2:2">
      <c r="B246" s="5"/>
    </row>
    <row r="247" spans="2:2">
      <c r="B247" s="5"/>
    </row>
    <row r="248" spans="2:2">
      <c r="B248" s="5"/>
    </row>
    <row r="249" spans="2:2">
      <c r="B249" s="5"/>
    </row>
    <row r="250" spans="2:2">
      <c r="B250" s="5"/>
    </row>
    <row r="251" spans="2:2">
      <c r="B251" s="5"/>
    </row>
    <row r="252" spans="2:2">
      <c r="B252" s="5"/>
    </row>
    <row r="253" spans="2:2">
      <c r="B253" s="5"/>
    </row>
    <row r="254" spans="2:2">
      <c r="B254" s="5"/>
    </row>
    <row r="255" spans="2:2">
      <c r="B255" s="5"/>
    </row>
    <row r="256" spans="2:2">
      <c r="B256" s="5"/>
    </row>
    <row r="257" spans="2:2">
      <c r="B257" s="5"/>
    </row>
    <row r="258" spans="2:2">
      <c r="B258" s="5"/>
    </row>
    <row r="259" spans="2:2">
      <c r="B259" s="5"/>
    </row>
    <row r="260" spans="2:2">
      <c r="B260" s="5"/>
    </row>
    <row r="261" spans="2:2">
      <c r="B261" s="5"/>
    </row>
    <row r="262" spans="2:2">
      <c r="B262" s="5"/>
    </row>
    <row r="263" spans="2:2">
      <c r="B263" s="5"/>
    </row>
    <row r="264" spans="2:2">
      <c r="B264" s="5"/>
    </row>
    <row r="265" spans="2:2">
      <c r="B265" s="5"/>
    </row>
    <row r="266" spans="2:2">
      <c r="B266" s="5"/>
    </row>
    <row r="267" spans="2:2">
      <c r="B267" s="5"/>
    </row>
    <row r="268" spans="2:2">
      <c r="B268" s="5"/>
    </row>
    <row r="269" spans="2:2">
      <c r="B269" s="5"/>
    </row>
    <row r="270" spans="2:2">
      <c r="B270" s="5"/>
    </row>
    <row r="271" spans="2:2">
      <c r="B271" s="5"/>
    </row>
    <row r="272" spans="2:2">
      <c r="B272" s="5"/>
    </row>
    <row r="273" spans="2:2">
      <c r="B273" s="5"/>
    </row>
    <row r="274" spans="2:2">
      <c r="B274" s="5"/>
    </row>
    <row r="275" spans="2:2">
      <c r="B275" s="5"/>
    </row>
    <row r="276" spans="2:2">
      <c r="B276" s="5"/>
    </row>
    <row r="277" spans="2:2">
      <c r="B277" s="5"/>
    </row>
    <row r="278" spans="2:2">
      <c r="B278" s="5"/>
    </row>
    <row r="279" spans="2:2">
      <c r="B279" s="5"/>
    </row>
    <row r="280" spans="2:2">
      <c r="B280" s="5"/>
    </row>
    <row r="281" spans="2:2">
      <c r="B281" s="5"/>
    </row>
    <row r="282" spans="2:2">
      <c r="B282" s="5"/>
    </row>
    <row r="283" spans="2:2">
      <c r="B283" s="5"/>
    </row>
    <row r="284" spans="2:2">
      <c r="B284" s="5"/>
    </row>
    <row r="285" spans="2:2">
      <c r="B285" s="5"/>
    </row>
    <row r="286" spans="2:2">
      <c r="B286" s="5"/>
    </row>
    <row r="287" spans="2:2">
      <c r="B287" s="5"/>
    </row>
    <row r="288" spans="2:2">
      <c r="B288" s="5"/>
    </row>
    <row r="289" spans="2:2">
      <c r="B289" s="5"/>
    </row>
    <row r="290" spans="2:2">
      <c r="B290" s="5"/>
    </row>
    <row r="291" spans="2:2">
      <c r="B291" s="5"/>
    </row>
    <row r="292" spans="2:2">
      <c r="B292" s="5"/>
    </row>
    <row r="293" spans="2:2">
      <c r="B293" s="5"/>
    </row>
    <row r="294" spans="2:2">
      <c r="B294" s="5"/>
    </row>
    <row r="295" spans="2:2">
      <c r="B295" s="5"/>
    </row>
    <row r="296" spans="2:2">
      <c r="B296" s="5"/>
    </row>
    <row r="297" spans="2:2">
      <c r="B297" s="5"/>
    </row>
    <row r="298" spans="2:2">
      <c r="B298" s="5"/>
    </row>
    <row r="299" spans="2:2">
      <c r="B299" s="5"/>
    </row>
    <row r="300" spans="2:2">
      <c r="B300" s="5"/>
    </row>
    <row r="301" spans="2:2">
      <c r="B301" s="5"/>
    </row>
    <row r="302" spans="2:2">
      <c r="B302" s="5"/>
    </row>
    <row r="303" spans="2:2">
      <c r="B303" s="5"/>
    </row>
    <row r="304" spans="2:2">
      <c r="B304" s="5"/>
    </row>
    <row r="305" spans="2:2">
      <c r="B305" s="5"/>
    </row>
    <row r="306" spans="2:2">
      <c r="B306" s="5"/>
    </row>
    <row r="307" spans="2:2">
      <c r="B307" s="5"/>
    </row>
    <row r="308" spans="2:2">
      <c r="B308" s="5"/>
    </row>
    <row r="309" spans="2:2">
      <c r="B309" s="5"/>
    </row>
    <row r="310" spans="2:2">
      <c r="B310" s="5"/>
    </row>
    <row r="311" spans="2:2">
      <c r="B311" s="5"/>
    </row>
    <row r="312" spans="2:2">
      <c r="B312" s="5"/>
    </row>
    <row r="313" spans="2:2">
      <c r="B313" s="5"/>
    </row>
    <row r="314" spans="2:2">
      <c r="B314" s="5"/>
    </row>
    <row r="315" spans="2:2">
      <c r="B315" s="5"/>
    </row>
    <row r="316" spans="2:2">
      <c r="B316" s="5"/>
    </row>
    <row r="317" spans="2:2">
      <c r="B317" s="5"/>
    </row>
    <row r="318" spans="2:2">
      <c r="B318" s="5"/>
    </row>
    <row r="319" spans="2:2">
      <c r="B319" s="5"/>
    </row>
    <row r="320" spans="2:2">
      <c r="B320" s="5"/>
    </row>
    <row r="321" spans="2:2">
      <c r="B321" s="5"/>
    </row>
    <row r="322" spans="2:2">
      <c r="B322" s="5"/>
    </row>
    <row r="323" spans="2:2">
      <c r="B323" s="5"/>
    </row>
    <row r="324" spans="2:2">
      <c r="B324" s="5"/>
    </row>
    <row r="325" spans="2:2">
      <c r="B325" s="5"/>
    </row>
    <row r="326" spans="2:2">
      <c r="B326" s="5"/>
    </row>
    <row r="327" spans="2:2">
      <c r="B327" s="5"/>
    </row>
    <row r="328" spans="2:2">
      <c r="B328" s="5"/>
    </row>
    <row r="329" spans="2:2">
      <c r="B329" s="5"/>
    </row>
    <row r="330" spans="2:2">
      <c r="B330" s="5"/>
    </row>
    <row r="331" spans="2:2">
      <c r="B331" s="5"/>
    </row>
    <row r="332" spans="2:2">
      <c r="B332" s="5"/>
    </row>
    <row r="333" spans="2:2">
      <c r="B333" s="5"/>
    </row>
    <row r="334" spans="2:2">
      <c r="B334" s="5"/>
    </row>
    <row r="335" spans="2:2">
      <c r="B335" s="5"/>
    </row>
    <row r="336" spans="2:2">
      <c r="B336" s="5"/>
    </row>
    <row r="337" spans="2:2">
      <c r="B337" s="5"/>
    </row>
    <row r="338" spans="2:2">
      <c r="B338" s="5"/>
    </row>
    <row r="339" spans="2:2">
      <c r="B339" s="5"/>
    </row>
    <row r="340" spans="2:2">
      <c r="B340" s="5"/>
    </row>
    <row r="341" spans="2:2">
      <c r="B341" s="5"/>
    </row>
    <row r="342" spans="2:2">
      <c r="B342" s="5"/>
    </row>
    <row r="343" spans="2:2">
      <c r="B343" s="5"/>
    </row>
    <row r="344" spans="2:2">
      <c r="B344" s="5"/>
    </row>
    <row r="345" spans="2:2">
      <c r="B345" s="5"/>
    </row>
    <row r="346" spans="2:2">
      <c r="B346" s="5"/>
    </row>
    <row r="347" spans="2:2">
      <c r="B347" s="5"/>
    </row>
    <row r="348" spans="2:2">
      <c r="B348" s="5"/>
    </row>
    <row r="349" spans="2:2">
      <c r="B349" s="5"/>
    </row>
    <row r="350" spans="2:2">
      <c r="B350" s="5"/>
    </row>
    <row r="351" spans="2:2">
      <c r="B351" s="5"/>
    </row>
    <row r="352" spans="2:2">
      <c r="B352" s="5"/>
    </row>
    <row r="353" spans="2:2">
      <c r="B353" s="5"/>
    </row>
    <row r="354" spans="2:2">
      <c r="B354" s="5"/>
    </row>
    <row r="355" spans="2:2">
      <c r="B355" s="5"/>
    </row>
    <row r="356" spans="2:2">
      <c r="B356" s="5"/>
    </row>
    <row r="357" spans="2:2">
      <c r="B357" s="5"/>
    </row>
    <row r="358" spans="2:2">
      <c r="B358" s="5"/>
    </row>
    <row r="359" spans="2:2">
      <c r="B359" s="5"/>
    </row>
    <row r="360" spans="2:2">
      <c r="B360" s="5"/>
    </row>
    <row r="361" spans="2:2">
      <c r="B361" s="5"/>
    </row>
    <row r="362" spans="2:2">
      <c r="B362" s="5"/>
    </row>
    <row r="363" spans="2:2">
      <c r="B363" s="5"/>
    </row>
    <row r="364" spans="2:2">
      <c r="B364" s="5"/>
    </row>
    <row r="365" spans="2:2">
      <c r="B365" s="5"/>
    </row>
    <row r="366" spans="2:2">
      <c r="B366" s="5"/>
    </row>
    <row r="367" spans="2:2">
      <c r="B367" s="5"/>
    </row>
    <row r="368" spans="2:2">
      <c r="B368" s="5"/>
    </row>
    <row r="369" spans="2:2">
      <c r="B369" s="5"/>
    </row>
    <row r="370" spans="2:2">
      <c r="B370" s="5"/>
    </row>
    <row r="371" spans="2:2">
      <c r="B371" s="5"/>
    </row>
    <row r="372" spans="2:2">
      <c r="B372" s="5"/>
    </row>
    <row r="373" spans="2:2">
      <c r="B373" s="5"/>
    </row>
    <row r="374" spans="2:2">
      <c r="B374" s="5"/>
    </row>
    <row r="375" spans="2:2">
      <c r="B375" s="5"/>
    </row>
    <row r="376" spans="2:2">
      <c r="B376" s="5"/>
    </row>
    <row r="377" spans="2:2">
      <c r="B377" s="5"/>
    </row>
    <row r="378" spans="2:2">
      <c r="B378" s="5"/>
    </row>
    <row r="379" spans="2:2">
      <c r="B379" s="5"/>
    </row>
    <row r="380" spans="2:2">
      <c r="B380" s="5"/>
    </row>
    <row r="381" spans="2:2">
      <c r="B381" s="5"/>
    </row>
    <row r="382" spans="2:2">
      <c r="B382" s="5"/>
    </row>
    <row r="383" spans="2:2">
      <c r="B383" s="5"/>
    </row>
    <row r="384" spans="2:2">
      <c r="B384" s="5"/>
    </row>
    <row r="385" spans="2:2">
      <c r="B385" s="5"/>
    </row>
    <row r="386" spans="2:2">
      <c r="B386" s="5"/>
    </row>
    <row r="387" spans="2:2">
      <c r="B387" s="5"/>
    </row>
    <row r="388" spans="2:2">
      <c r="B388" s="5"/>
    </row>
    <row r="389" spans="2:2">
      <c r="B389" s="5"/>
    </row>
    <row r="390" spans="2:2">
      <c r="B390" s="5"/>
    </row>
    <row r="391" spans="2:2">
      <c r="B391" s="5"/>
    </row>
    <row r="392" spans="2:2">
      <c r="B392" s="5"/>
    </row>
    <row r="393" spans="2:2">
      <c r="B393" s="5"/>
    </row>
    <row r="394" spans="2:2">
      <c r="B394" s="5"/>
    </row>
    <row r="395" spans="2:2">
      <c r="B395" s="5"/>
    </row>
    <row r="396" spans="2:2">
      <c r="B396" s="5"/>
    </row>
    <row r="397" spans="2:2">
      <c r="B397" s="5"/>
    </row>
    <row r="398" spans="2:2">
      <c r="B398" s="5"/>
    </row>
    <row r="399" spans="2:2">
      <c r="B399" s="5"/>
    </row>
    <row r="400" spans="2:2">
      <c r="B400" s="5"/>
    </row>
    <row r="401" spans="2:2">
      <c r="B401" s="5"/>
    </row>
    <row r="402" spans="2:2">
      <c r="B402" s="5"/>
    </row>
    <row r="403" spans="2:2">
      <c r="B403" s="5"/>
    </row>
    <row r="404" spans="2:2">
      <c r="B404" s="5"/>
    </row>
    <row r="405" spans="2:2">
      <c r="B405" s="5"/>
    </row>
    <row r="406" spans="2:2">
      <c r="B406" s="5"/>
    </row>
    <row r="407" spans="2:2">
      <c r="B407" s="5"/>
    </row>
    <row r="408" spans="2:2">
      <c r="B408" s="5"/>
    </row>
    <row r="409" spans="2:2">
      <c r="B409" s="5"/>
    </row>
    <row r="410" spans="2:2">
      <c r="B410" s="5"/>
    </row>
    <row r="411" spans="2:2">
      <c r="B411" s="5"/>
    </row>
    <row r="412" spans="2:2">
      <c r="B412" s="5"/>
    </row>
    <row r="413" spans="2:2">
      <c r="B413" s="5"/>
    </row>
    <row r="414" spans="2:2">
      <c r="B414" s="5"/>
    </row>
    <row r="415" spans="2:2">
      <c r="B415" s="5"/>
    </row>
    <row r="416" spans="2:2">
      <c r="B416" s="5"/>
    </row>
    <row r="417" spans="2:2">
      <c r="B417" s="5"/>
    </row>
    <row r="418" spans="2:2">
      <c r="B418" s="5"/>
    </row>
    <row r="419" spans="2:2">
      <c r="B419" s="5"/>
    </row>
    <row r="420" spans="2:2">
      <c r="B420" s="5"/>
    </row>
    <row r="421" spans="2:2">
      <c r="B421" s="5"/>
    </row>
    <row r="422" spans="2:2">
      <c r="B422" s="5"/>
    </row>
    <row r="423" spans="2:2">
      <c r="B423" s="5"/>
    </row>
    <row r="424" spans="2:2">
      <c r="B424" s="5"/>
    </row>
    <row r="425" spans="2:2">
      <c r="B425" s="5"/>
    </row>
    <row r="426" spans="2:2">
      <c r="B426" s="5"/>
    </row>
    <row r="427" spans="2:2">
      <c r="B427" s="5"/>
    </row>
    <row r="428" spans="2:2">
      <c r="B428" s="5"/>
    </row>
    <row r="429" spans="2:2">
      <c r="B429" s="5"/>
    </row>
    <row r="430" spans="2:2">
      <c r="B430" s="5"/>
    </row>
    <row r="431" spans="2:2">
      <c r="B431" s="5"/>
    </row>
    <row r="432" spans="2:2">
      <c r="B432" s="5"/>
    </row>
    <row r="433" spans="2:2">
      <c r="B433" s="5"/>
    </row>
    <row r="434" spans="2:2">
      <c r="B434" s="5"/>
    </row>
    <row r="435" spans="2:2">
      <c r="B435" s="5"/>
    </row>
    <row r="436" spans="2:2">
      <c r="B436" s="5"/>
    </row>
    <row r="437" spans="2:2">
      <c r="B437" s="5"/>
    </row>
    <row r="438" spans="2:2">
      <c r="B438" s="5"/>
    </row>
    <row r="439" spans="2:2">
      <c r="B439" s="5"/>
    </row>
    <row r="440" spans="2:2">
      <c r="B440" s="5"/>
    </row>
    <row r="441" spans="2:2">
      <c r="B441" s="5"/>
    </row>
    <row r="442" spans="2:2">
      <c r="B442" s="5"/>
    </row>
    <row r="443" spans="2:2">
      <c r="B443" s="5"/>
    </row>
    <row r="444" spans="2:2">
      <c r="B444" s="5"/>
    </row>
    <row r="445" spans="2:2">
      <c r="B445" s="5"/>
    </row>
    <row r="446" spans="2:2">
      <c r="B446" s="5"/>
    </row>
    <row r="447" spans="2:2">
      <c r="B447" s="5"/>
    </row>
    <row r="448" spans="2:2">
      <c r="B448" s="5"/>
    </row>
    <row r="449" spans="2:2">
      <c r="B449" s="5"/>
    </row>
    <row r="450" spans="2:2">
      <c r="B450" s="5"/>
    </row>
    <row r="451" spans="2:2">
      <c r="B451" s="5"/>
    </row>
    <row r="452" spans="2:2">
      <c r="B452" s="5"/>
    </row>
    <row r="453" spans="2:2">
      <c r="B453" s="5"/>
    </row>
    <row r="454" spans="2:2">
      <c r="B454" s="5"/>
    </row>
    <row r="455" spans="2:2">
      <c r="B455" s="5"/>
    </row>
    <row r="456" spans="2:2">
      <c r="B456" s="5"/>
    </row>
    <row r="457" spans="2:2">
      <c r="B457" s="5"/>
    </row>
    <row r="458" spans="2:2">
      <c r="B458" s="5"/>
    </row>
    <row r="459" spans="2:2">
      <c r="B459" s="5"/>
    </row>
    <row r="460" spans="2:2">
      <c r="B460" s="5"/>
    </row>
    <row r="461" spans="2:2">
      <c r="B461" s="5"/>
    </row>
    <row r="462" spans="2:2">
      <c r="B462" s="5"/>
    </row>
    <row r="463" spans="2:2">
      <c r="B463" s="5"/>
    </row>
    <row r="464" spans="2:2">
      <c r="B464" s="5"/>
    </row>
    <row r="465" spans="2:2">
      <c r="B465" s="5"/>
    </row>
    <row r="466" spans="2:2">
      <c r="B466" s="5"/>
    </row>
    <row r="467" spans="2:2">
      <c r="B467" s="5"/>
    </row>
    <row r="468" spans="2:2">
      <c r="B468" s="5"/>
    </row>
    <row r="469" spans="2:2">
      <c r="B469" s="5"/>
    </row>
    <row r="470" spans="2:2">
      <c r="B470" s="5"/>
    </row>
    <row r="471" spans="2:2">
      <c r="B471" s="5"/>
    </row>
    <row r="472" spans="2:2">
      <c r="B472" s="5"/>
    </row>
    <row r="473" spans="2:2">
      <c r="B473" s="5"/>
    </row>
    <row r="474" spans="2:2">
      <c r="B474" s="5"/>
    </row>
    <row r="475" spans="2:2">
      <c r="B475" s="5"/>
    </row>
    <row r="476" spans="2:2">
      <c r="B476" s="5"/>
    </row>
    <row r="477" spans="2:2">
      <c r="B477" s="5"/>
    </row>
    <row r="478" spans="2:2">
      <c r="B478" s="5"/>
    </row>
    <row r="479" spans="2:2">
      <c r="B479" s="5"/>
    </row>
    <row r="480" spans="2:2">
      <c r="B480" s="5"/>
    </row>
    <row r="481" spans="2:2">
      <c r="B481" s="5"/>
    </row>
    <row r="482" spans="2:2">
      <c r="B482" s="5"/>
    </row>
    <row r="483" spans="2:2">
      <c r="B483" s="5"/>
    </row>
    <row r="484" spans="2:2">
      <c r="B484" s="5"/>
    </row>
    <row r="485" spans="2:2">
      <c r="B485" s="5"/>
    </row>
    <row r="486" spans="2:2">
      <c r="B486" s="5"/>
    </row>
    <row r="487" spans="2:2">
      <c r="B487" s="5"/>
    </row>
    <row r="488" spans="2:2">
      <c r="B488" s="5"/>
    </row>
    <row r="489" spans="2:2">
      <c r="B489" s="5"/>
    </row>
    <row r="490" spans="2:2">
      <c r="B490" s="5"/>
    </row>
    <row r="491" spans="2:2">
      <c r="B491" s="5"/>
    </row>
    <row r="492" spans="2:2">
      <c r="B492" s="5"/>
    </row>
    <row r="493" spans="2:2">
      <c r="B493" s="5"/>
    </row>
    <row r="494" spans="2:2">
      <c r="B494" s="5"/>
    </row>
    <row r="495" spans="2:2">
      <c r="B495" s="5"/>
    </row>
    <row r="496" spans="2:2">
      <c r="B496" s="5"/>
    </row>
    <row r="497" spans="2:2">
      <c r="B497" s="5"/>
    </row>
    <row r="498" spans="2:2">
      <c r="B498" s="5"/>
    </row>
    <row r="499" spans="2:2">
      <c r="B499" s="5"/>
    </row>
    <row r="500" spans="2:2">
      <c r="B500" s="5"/>
    </row>
    <row r="501" spans="2:2">
      <c r="B501" s="5"/>
    </row>
    <row r="502" spans="2:2">
      <c r="B502" s="5"/>
    </row>
    <row r="503" spans="2:2">
      <c r="B503" s="5"/>
    </row>
    <row r="504" spans="2:2">
      <c r="B504" s="5"/>
    </row>
    <row r="505" spans="2:2">
      <c r="B505" s="5"/>
    </row>
    <row r="506" spans="2:2">
      <c r="B506" s="5"/>
    </row>
    <row r="507" spans="2:2">
      <c r="B507" s="5"/>
    </row>
    <row r="508" spans="2:2">
      <c r="B508" s="5"/>
    </row>
    <row r="509" spans="2:2">
      <c r="B509" s="5"/>
    </row>
    <row r="510" spans="2:2">
      <c r="B510" s="5"/>
    </row>
    <row r="511" spans="2:2">
      <c r="B511" s="5"/>
    </row>
    <row r="512" spans="2:2">
      <c r="B512" s="5"/>
    </row>
    <row r="513" spans="2:2">
      <c r="B513" s="5"/>
    </row>
    <row r="514" spans="2:2">
      <c r="B514" s="5"/>
    </row>
    <row r="515" spans="2:2">
      <c r="B515" s="5"/>
    </row>
    <row r="516" spans="2:2">
      <c r="B516" s="5"/>
    </row>
    <row r="517" spans="2:2">
      <c r="B517" s="5"/>
    </row>
    <row r="518" spans="2:2">
      <c r="B518" s="5"/>
    </row>
    <row r="519" spans="2:2">
      <c r="B519" s="5"/>
    </row>
    <row r="520" spans="2:2">
      <c r="B520" s="5"/>
    </row>
    <row r="521" spans="2:2">
      <c r="B521" s="5"/>
    </row>
    <row r="522" spans="2:2">
      <c r="B522" s="5"/>
    </row>
    <row r="523" spans="2:2">
      <c r="B523" s="5"/>
    </row>
    <row r="524" spans="2:2">
      <c r="B524" s="5"/>
    </row>
    <row r="525" spans="2:2">
      <c r="B525" s="5"/>
    </row>
    <row r="526" spans="2:2">
      <c r="B526" s="5"/>
    </row>
    <row r="527" spans="2:2">
      <c r="B527" s="5"/>
    </row>
    <row r="528" spans="2:2">
      <c r="B528" s="5"/>
    </row>
    <row r="529" spans="2:2">
      <c r="B529" s="5"/>
    </row>
    <row r="530" spans="2:2">
      <c r="B530" s="5"/>
    </row>
    <row r="531" spans="2:2">
      <c r="B531" s="5"/>
    </row>
    <row r="532" spans="2:2">
      <c r="B532" s="5"/>
    </row>
    <row r="533" spans="2:2">
      <c r="B533" s="5"/>
    </row>
    <row r="534" spans="2:2">
      <c r="B534" s="5"/>
    </row>
    <row r="535" spans="2:2">
      <c r="B535" s="5"/>
    </row>
    <row r="536" spans="2:2">
      <c r="B536" s="5"/>
    </row>
    <row r="537" spans="2:2">
      <c r="B537" s="5"/>
    </row>
    <row r="538" spans="2:2">
      <c r="B538" s="5"/>
    </row>
    <row r="539" spans="2:2">
      <c r="B539" s="5"/>
    </row>
    <row r="540" spans="2:2">
      <c r="B540" s="5"/>
    </row>
    <row r="541" spans="2:2">
      <c r="B541" s="5"/>
    </row>
    <row r="542" spans="2:2">
      <c r="B542" s="5"/>
    </row>
    <row r="543" spans="2:2">
      <c r="B543" s="5"/>
    </row>
    <row r="544" spans="2:2">
      <c r="B544" s="5"/>
    </row>
    <row r="545" spans="2:2">
      <c r="B545" s="5"/>
    </row>
    <row r="546" spans="2:2">
      <c r="B546" s="5"/>
    </row>
    <row r="547" spans="2:2">
      <c r="B547" s="5"/>
    </row>
    <row r="548" spans="2:2">
      <c r="B548" s="5"/>
    </row>
    <row r="549" spans="2:2">
      <c r="B549" s="5"/>
    </row>
    <row r="550" spans="2:2">
      <c r="B550" s="5"/>
    </row>
    <row r="551" spans="2:2">
      <c r="B551" s="5"/>
    </row>
    <row r="552" spans="2:2">
      <c r="B552" s="5"/>
    </row>
    <row r="553" spans="2:2">
      <c r="B553" s="5"/>
    </row>
    <row r="554" spans="2:2">
      <c r="B554" s="5"/>
    </row>
    <row r="555" spans="2:2">
      <c r="B555" s="5"/>
    </row>
    <row r="556" spans="2:2">
      <c r="B556" s="5"/>
    </row>
    <row r="557" spans="2:2">
      <c r="B557" s="5"/>
    </row>
    <row r="558" spans="2:2">
      <c r="B558" s="5"/>
    </row>
    <row r="559" spans="2:2">
      <c r="B559" s="5"/>
    </row>
    <row r="560" spans="2:2">
      <c r="B560" s="5"/>
    </row>
    <row r="561" spans="2:2">
      <c r="B561" s="5"/>
    </row>
    <row r="562" spans="2:2">
      <c r="B562" s="5"/>
    </row>
    <row r="563" spans="2:2">
      <c r="B563" s="5"/>
    </row>
    <row r="564" spans="2:2">
      <c r="B564" s="5"/>
    </row>
    <row r="565" spans="2:2">
      <c r="B565" s="5"/>
    </row>
    <row r="566" spans="2:2">
      <c r="B566" s="5"/>
    </row>
    <row r="567" spans="2:2">
      <c r="B567" s="5"/>
    </row>
    <row r="568" spans="2:2">
      <c r="B568" s="5"/>
    </row>
    <row r="569" spans="2:2">
      <c r="B569" s="5"/>
    </row>
    <row r="570" spans="2:2">
      <c r="B570" s="5"/>
    </row>
    <row r="571" spans="2:2">
      <c r="B571" s="5"/>
    </row>
    <row r="572" spans="2:2">
      <c r="B572" s="5"/>
    </row>
    <row r="573" spans="2:2">
      <c r="B573" s="5"/>
    </row>
    <row r="574" spans="2:2">
      <c r="B574" s="5"/>
    </row>
    <row r="575" spans="2:2">
      <c r="B575" s="5"/>
    </row>
    <row r="576" spans="2:2">
      <c r="B576" s="5"/>
    </row>
    <row r="577" spans="2:2">
      <c r="B577" s="5"/>
    </row>
    <row r="578" spans="2:2">
      <c r="B578" s="5"/>
    </row>
    <row r="579" spans="2:2">
      <c r="B579" s="5"/>
    </row>
    <row r="580" spans="2:2">
      <c r="B580" s="5"/>
    </row>
    <row r="581" spans="2:2">
      <c r="B581" s="5"/>
    </row>
    <row r="582" spans="2:2">
      <c r="B582" s="5"/>
    </row>
    <row r="583" spans="2:2">
      <c r="B583" s="5"/>
    </row>
    <row r="584" spans="2:2">
      <c r="B584" s="5"/>
    </row>
    <row r="585" spans="2:2">
      <c r="B585" s="5"/>
    </row>
    <row r="586" spans="2:2">
      <c r="B586" s="5"/>
    </row>
    <row r="587" spans="2:2">
      <c r="B587" s="5"/>
    </row>
    <row r="588" spans="2:2">
      <c r="B588" s="5"/>
    </row>
    <row r="589" spans="2:2">
      <c r="B589" s="5"/>
    </row>
    <row r="590" spans="2:2">
      <c r="B590" s="5"/>
    </row>
    <row r="591" spans="2:2">
      <c r="B591" s="5"/>
    </row>
    <row r="592" spans="2:2">
      <c r="B592" s="5"/>
    </row>
    <row r="593" spans="2:2">
      <c r="B593" s="5"/>
    </row>
    <row r="594" spans="2:2">
      <c r="B594" s="5"/>
    </row>
    <row r="595" spans="2:2">
      <c r="B595" s="5"/>
    </row>
    <row r="596" spans="2:2">
      <c r="B596" s="5"/>
    </row>
    <row r="597" spans="2:2">
      <c r="B597" s="5"/>
    </row>
    <row r="598" spans="2:2">
      <c r="B598" s="5"/>
    </row>
    <row r="599" spans="2:2">
      <c r="B599" s="5"/>
    </row>
    <row r="600" spans="2:2">
      <c r="B600" s="5"/>
    </row>
    <row r="601" spans="2:2">
      <c r="B601" s="5"/>
    </row>
    <row r="602" spans="2:2">
      <c r="B602" s="5"/>
    </row>
    <row r="603" spans="2:2">
      <c r="B603" s="5"/>
    </row>
    <row r="604" spans="2:2">
      <c r="B604" s="5"/>
    </row>
    <row r="605" spans="2:2">
      <c r="B605" s="5"/>
    </row>
    <row r="606" spans="2:2">
      <c r="B606" s="5"/>
    </row>
    <row r="607" spans="2:2">
      <c r="B607" s="5"/>
    </row>
    <row r="608" spans="2:2">
      <c r="B608" s="5"/>
    </row>
    <row r="609" spans="2:2">
      <c r="B609" s="5"/>
    </row>
    <row r="610" spans="2:2">
      <c r="B610" s="5"/>
    </row>
    <row r="611" spans="2:2">
      <c r="B611" s="5"/>
    </row>
    <row r="612" spans="2:2">
      <c r="B612" s="5"/>
    </row>
    <row r="613" spans="2:2">
      <c r="B613" s="5"/>
    </row>
    <row r="614" spans="2:2">
      <c r="B614" s="5"/>
    </row>
    <row r="615" spans="2:2">
      <c r="B615" s="5"/>
    </row>
    <row r="616" spans="2:2">
      <c r="B616" s="5"/>
    </row>
    <row r="617" spans="2:2">
      <c r="B617" s="5"/>
    </row>
    <row r="618" spans="2:2">
      <c r="B618" s="5"/>
    </row>
    <row r="619" spans="2:2">
      <c r="B619" s="5"/>
    </row>
    <row r="620" spans="2:2">
      <c r="B620" s="5"/>
    </row>
    <row r="621" spans="2:2">
      <c r="B621" s="5"/>
    </row>
    <row r="622" spans="2:2">
      <c r="B622" s="5"/>
    </row>
    <row r="623" spans="2:2">
      <c r="B623" s="5"/>
    </row>
    <row r="624" spans="2:2">
      <c r="B624" s="5"/>
    </row>
    <row r="625" spans="2:2">
      <c r="B625" s="5"/>
    </row>
    <row r="626" spans="2:2">
      <c r="B626" s="5"/>
    </row>
    <row r="627" spans="2:2">
      <c r="B627" s="5"/>
    </row>
    <row r="628" spans="2:2">
      <c r="B628" s="5"/>
    </row>
    <row r="629" spans="2:2">
      <c r="B629" s="5"/>
    </row>
    <row r="630" spans="2:2">
      <c r="B630" s="5"/>
    </row>
    <row r="631" spans="2:2">
      <c r="B631" s="5"/>
    </row>
    <row r="632" spans="2:2">
      <c r="B632" s="5"/>
    </row>
    <row r="633" spans="2:2">
      <c r="B633" s="5"/>
    </row>
    <row r="634" spans="2:2">
      <c r="B634" s="5"/>
    </row>
    <row r="635" spans="2:2">
      <c r="B635" s="5"/>
    </row>
    <row r="636" spans="2:2">
      <c r="B636" s="5"/>
    </row>
    <row r="637" spans="2:2">
      <c r="B637" s="5"/>
    </row>
    <row r="638" spans="2:2">
      <c r="B638" s="5"/>
    </row>
    <row r="639" spans="2:2">
      <c r="B639" s="5"/>
    </row>
    <row r="640" spans="2:2">
      <c r="B640" s="5"/>
    </row>
    <row r="641" spans="2:2">
      <c r="B641" s="5"/>
    </row>
    <row r="642" spans="2:2">
      <c r="B642" s="5"/>
    </row>
    <row r="643" spans="2:2">
      <c r="B643" s="5"/>
    </row>
    <row r="644" spans="2:2">
      <c r="B644" s="5"/>
    </row>
    <row r="645" spans="2:2">
      <c r="B645" s="5"/>
    </row>
    <row r="646" spans="2:2">
      <c r="B646" s="5"/>
    </row>
    <row r="647" spans="2:2">
      <c r="B647" s="5"/>
    </row>
    <row r="648" spans="2:2">
      <c r="B648" s="5"/>
    </row>
    <row r="649" spans="2:2">
      <c r="B649" s="5"/>
    </row>
    <row r="650" spans="2:2">
      <c r="B650" s="5"/>
    </row>
    <row r="651" spans="2:2">
      <c r="B651" s="5"/>
    </row>
    <row r="652" spans="2:2">
      <c r="B652" s="5"/>
    </row>
    <row r="653" spans="2:2">
      <c r="B653" s="5"/>
    </row>
    <row r="654" spans="2:2">
      <c r="B654" s="5"/>
    </row>
    <row r="655" spans="2:2">
      <c r="B655" s="5"/>
    </row>
    <row r="656" spans="2:2">
      <c r="B656" s="5"/>
    </row>
    <row r="657" spans="2:2">
      <c r="B657" s="5"/>
    </row>
    <row r="658" spans="2:2">
      <c r="B658" s="5"/>
    </row>
    <row r="659" spans="2:2">
      <c r="B659" s="5"/>
    </row>
    <row r="660" spans="2:2">
      <c r="B660" s="5"/>
    </row>
    <row r="661" spans="2:2">
      <c r="B661" s="5"/>
    </row>
    <row r="662" spans="2:2">
      <c r="B662" s="5"/>
    </row>
    <row r="663" spans="2:2">
      <c r="B663" s="5"/>
    </row>
    <row r="664" spans="2:2">
      <c r="B664" s="5"/>
    </row>
    <row r="665" spans="2:2">
      <c r="B665" s="5"/>
    </row>
    <row r="666" spans="2:2">
      <c r="B666" s="5"/>
    </row>
    <row r="667" spans="2:2">
      <c r="B667" s="5"/>
    </row>
    <row r="668" spans="2:2">
      <c r="B668" s="5"/>
    </row>
    <row r="669" spans="2:2">
      <c r="B669" s="5"/>
    </row>
    <row r="670" spans="2:2">
      <c r="B670" s="5"/>
    </row>
    <row r="671" spans="2:2">
      <c r="B671" s="5"/>
    </row>
    <row r="672" spans="2:2">
      <c r="B672" s="5"/>
    </row>
    <row r="673" spans="2:2">
      <c r="B673" s="5"/>
    </row>
    <row r="674" spans="2:2">
      <c r="B674" s="5"/>
    </row>
    <row r="675" spans="2:2">
      <c r="B675" s="5"/>
    </row>
    <row r="676" spans="2:2">
      <c r="B676" s="5"/>
    </row>
    <row r="677" spans="2:2">
      <c r="B677" s="5"/>
    </row>
    <row r="678" spans="2:2">
      <c r="B678" s="5"/>
    </row>
    <row r="679" spans="2:2">
      <c r="B679" s="5"/>
    </row>
    <row r="680" spans="2:2">
      <c r="B680" s="5"/>
    </row>
    <row r="681" spans="2:2">
      <c r="B681" s="5"/>
    </row>
    <row r="682" spans="2:2">
      <c r="B682" s="5"/>
    </row>
    <row r="683" spans="2:2">
      <c r="B683" s="5"/>
    </row>
    <row r="684" spans="2:2">
      <c r="B684" s="5"/>
    </row>
    <row r="685" spans="2:2">
      <c r="B685" s="5"/>
    </row>
    <row r="686" spans="2:2">
      <c r="B686" s="5"/>
    </row>
    <row r="687" spans="2:2">
      <c r="B687" s="5"/>
    </row>
    <row r="688" spans="2:2">
      <c r="B688" s="5"/>
    </row>
    <row r="689" spans="2:2">
      <c r="B689" s="5"/>
    </row>
    <row r="690" spans="2:2">
      <c r="B690" s="5"/>
    </row>
    <row r="691" spans="2:2">
      <c r="B691" s="5"/>
    </row>
    <row r="692" spans="2:2">
      <c r="B692" s="5"/>
    </row>
    <row r="693" spans="2:2">
      <c r="B693" s="5"/>
    </row>
    <row r="694" spans="2:2">
      <c r="B694" s="5"/>
    </row>
    <row r="695" spans="2:2">
      <c r="B695" s="5"/>
    </row>
    <row r="696" spans="2:2">
      <c r="B696" s="5"/>
    </row>
    <row r="697" spans="2:2">
      <c r="B697" s="5"/>
    </row>
    <row r="698" spans="2:2">
      <c r="B698" s="5"/>
    </row>
    <row r="699" spans="2:2">
      <c r="B699" s="5"/>
    </row>
    <row r="700" spans="2:2">
      <c r="B700" s="5"/>
    </row>
    <row r="701" spans="2:2">
      <c r="B701" s="5"/>
    </row>
    <row r="702" spans="2:2">
      <c r="B702" s="5"/>
    </row>
    <row r="703" spans="2:2">
      <c r="B703" s="5"/>
    </row>
    <row r="704" spans="2:2">
      <c r="B704" s="5"/>
    </row>
    <row r="705" spans="2:2">
      <c r="B705" s="5"/>
    </row>
    <row r="706" spans="2:2">
      <c r="B706" s="5"/>
    </row>
    <row r="707" spans="2:2">
      <c r="B707" s="5"/>
    </row>
    <row r="708" spans="2:2">
      <c r="B708" s="5"/>
    </row>
    <row r="709" spans="2:2">
      <c r="B709" s="5"/>
    </row>
    <row r="710" spans="2:2">
      <c r="B710" s="5"/>
    </row>
    <row r="711" spans="2:2">
      <c r="B711" s="5"/>
    </row>
    <row r="712" spans="2:2">
      <c r="B712" s="5"/>
    </row>
    <row r="713" spans="2:2">
      <c r="B713" s="5"/>
    </row>
    <row r="714" spans="2:2">
      <c r="B714" s="5"/>
    </row>
    <row r="715" spans="2:2">
      <c r="B715" s="5"/>
    </row>
    <row r="716" spans="2:2">
      <c r="B716" s="5"/>
    </row>
    <row r="717" spans="2:2">
      <c r="B717" s="5"/>
    </row>
    <row r="718" spans="2:2">
      <c r="B718" s="5"/>
    </row>
    <row r="719" spans="2:2">
      <c r="B719" s="5"/>
    </row>
    <row r="720" spans="2:2">
      <c r="B720" s="5"/>
    </row>
    <row r="721" spans="2:2">
      <c r="B721" s="5"/>
    </row>
    <row r="722" spans="2:2">
      <c r="B722" s="5"/>
    </row>
    <row r="723" spans="2:2">
      <c r="B723" s="5"/>
    </row>
    <row r="724" spans="2:2">
      <c r="B724" s="5"/>
    </row>
    <row r="725" spans="2:2">
      <c r="B725" s="5"/>
    </row>
    <row r="726" spans="2:2">
      <c r="B726" s="5"/>
    </row>
    <row r="727" spans="2:2">
      <c r="B727" s="5"/>
    </row>
    <row r="728" spans="2:2">
      <c r="B728" s="5"/>
    </row>
    <row r="729" spans="2:2">
      <c r="B729" s="5"/>
    </row>
    <row r="730" spans="2:2">
      <c r="B730" s="5"/>
    </row>
    <row r="731" spans="2:2">
      <c r="B731" s="5"/>
    </row>
    <row r="732" spans="2:2">
      <c r="B732" s="5"/>
    </row>
    <row r="733" spans="2:2">
      <c r="B733" s="5"/>
    </row>
    <row r="734" spans="2:2">
      <c r="B734" s="5"/>
    </row>
    <row r="735" spans="2:2">
      <c r="B735" s="5"/>
    </row>
    <row r="736" spans="2:2">
      <c r="B736" s="5"/>
    </row>
    <row r="737" spans="2:2">
      <c r="B737" s="5"/>
    </row>
    <row r="738" spans="2:2">
      <c r="B738" s="5"/>
    </row>
    <row r="739" spans="2:2">
      <c r="B739" s="5"/>
    </row>
    <row r="740" spans="2:2">
      <c r="B740" s="5"/>
    </row>
    <row r="741" spans="2:2">
      <c r="B741" s="5"/>
    </row>
    <row r="742" spans="2:2">
      <c r="B742" s="5"/>
    </row>
    <row r="743" spans="2:2">
      <c r="B743" s="5"/>
    </row>
    <row r="744" spans="2:2">
      <c r="B744" s="5"/>
    </row>
    <row r="745" spans="2:2">
      <c r="B745" s="5"/>
    </row>
    <row r="746" spans="2:2">
      <c r="B746" s="5"/>
    </row>
    <row r="747" spans="2:2">
      <c r="B747" s="5"/>
    </row>
    <row r="748" spans="2:2">
      <c r="B748" s="5"/>
    </row>
    <row r="749" spans="2:2">
      <c r="B749" s="5"/>
    </row>
    <row r="750" spans="2:2">
      <c r="B750" s="5"/>
    </row>
    <row r="751" spans="2:2">
      <c r="B751" s="5"/>
    </row>
    <row r="752" spans="2:2">
      <c r="B752" s="5"/>
    </row>
    <row r="753" spans="2:2">
      <c r="B753" s="5"/>
    </row>
    <row r="754" spans="2:2">
      <c r="B754" s="5"/>
    </row>
    <row r="755" spans="2:2">
      <c r="B755" s="5"/>
    </row>
    <row r="756" spans="2:2">
      <c r="B756" s="5"/>
    </row>
    <row r="757" spans="2:2">
      <c r="B757" s="5"/>
    </row>
    <row r="758" spans="2:2">
      <c r="B758" s="5"/>
    </row>
    <row r="759" spans="2:2">
      <c r="B759" s="5"/>
    </row>
    <row r="760" spans="2:2">
      <c r="B760" s="5"/>
    </row>
    <row r="761" spans="2:2">
      <c r="B761" s="5"/>
    </row>
    <row r="762" spans="2:2">
      <c r="B762" s="5"/>
    </row>
    <row r="763" spans="2:2">
      <c r="B763" s="5"/>
    </row>
    <row r="764" spans="2:2">
      <c r="B764" s="5"/>
    </row>
    <row r="765" spans="2:2">
      <c r="B765" s="5"/>
    </row>
    <row r="766" spans="2:2">
      <c r="B766" s="5"/>
    </row>
    <row r="767" spans="2:2">
      <c r="B767" s="5"/>
    </row>
    <row r="768" spans="2:2">
      <c r="B768" s="5"/>
    </row>
    <row r="769" spans="2:2">
      <c r="B769" s="5"/>
    </row>
    <row r="770" spans="2:2">
      <c r="B770" s="5"/>
    </row>
    <row r="771" spans="2:2">
      <c r="B771" s="5"/>
    </row>
    <row r="772" spans="2:2">
      <c r="B772" s="5"/>
    </row>
    <row r="773" spans="2:2">
      <c r="B773" s="5"/>
    </row>
    <row r="774" spans="2:2">
      <c r="B774" s="5"/>
    </row>
    <row r="775" spans="2:2">
      <c r="B775" s="5"/>
    </row>
    <row r="776" spans="2:2">
      <c r="B776" s="5"/>
    </row>
    <row r="777" spans="2:2">
      <c r="B777" s="5"/>
    </row>
    <row r="778" spans="2:2">
      <c r="B778" s="5"/>
    </row>
    <row r="779" spans="2:2">
      <c r="B779" s="5"/>
    </row>
    <row r="780" spans="2:2">
      <c r="B780" s="5"/>
    </row>
    <row r="781" spans="2:2">
      <c r="B781" s="5"/>
    </row>
    <row r="782" spans="2:2">
      <c r="B782" s="5"/>
    </row>
    <row r="783" spans="2:2">
      <c r="B783" s="5"/>
    </row>
    <row r="784" spans="2:2">
      <c r="B784" s="5"/>
    </row>
    <row r="785" spans="2:2">
      <c r="B785" s="5"/>
    </row>
    <row r="786" spans="2:2">
      <c r="B786" s="5"/>
    </row>
    <row r="787" spans="2:2">
      <c r="B787" s="5"/>
    </row>
    <row r="788" spans="2:2">
      <c r="B788" s="5"/>
    </row>
    <row r="789" spans="2:2">
      <c r="B789" s="5"/>
    </row>
    <row r="790" spans="2:2">
      <c r="B790" s="5"/>
    </row>
    <row r="791" spans="2:2">
      <c r="B791" s="5"/>
    </row>
    <row r="792" spans="2:2">
      <c r="B792" s="5"/>
    </row>
    <row r="793" spans="2:2">
      <c r="B793" s="5"/>
    </row>
    <row r="794" spans="2:2">
      <c r="B794" s="5"/>
    </row>
    <row r="795" spans="2:2">
      <c r="B795" s="5"/>
    </row>
    <row r="796" spans="2:2">
      <c r="B796" s="5"/>
    </row>
    <row r="797" spans="2:2">
      <c r="B797" s="5"/>
    </row>
    <row r="798" spans="2:2">
      <c r="B798" s="5"/>
    </row>
    <row r="799" spans="2:2">
      <c r="B799" s="5"/>
    </row>
    <row r="800" spans="2:2">
      <c r="B800" s="5"/>
    </row>
    <row r="801" spans="2:2">
      <c r="B801" s="5"/>
    </row>
    <row r="802" spans="2:2">
      <c r="B802" s="5"/>
    </row>
    <row r="803" spans="2:2">
      <c r="B803" s="5"/>
    </row>
    <row r="804" spans="2:2">
      <c r="B804" s="5"/>
    </row>
    <row r="805" spans="2:2">
      <c r="B805" s="5"/>
    </row>
    <row r="806" spans="2:2">
      <c r="B806" s="5"/>
    </row>
    <row r="807" spans="2:2">
      <c r="B807" s="5"/>
    </row>
    <row r="808" spans="2:2">
      <c r="B808" s="5"/>
    </row>
    <row r="809" spans="2:2">
      <c r="B809" s="5"/>
    </row>
    <row r="810" spans="2:2">
      <c r="B810" s="5"/>
    </row>
    <row r="811" spans="2:2">
      <c r="B811" s="5"/>
    </row>
    <row r="812" spans="2:2">
      <c r="B812" s="5"/>
    </row>
    <row r="813" spans="2:2">
      <c r="B813" s="5"/>
    </row>
    <row r="814" spans="2:2">
      <c r="B814" s="5"/>
    </row>
    <row r="815" spans="2:2">
      <c r="B815" s="5"/>
    </row>
    <row r="816" spans="2:2">
      <c r="B816" s="5"/>
    </row>
    <row r="817" spans="2:2">
      <c r="B817" s="5"/>
    </row>
    <row r="818" spans="2:2">
      <c r="B818" s="5"/>
    </row>
    <row r="819" spans="2:2">
      <c r="B819" s="5"/>
    </row>
    <row r="820" spans="2:2">
      <c r="B820" s="5"/>
    </row>
    <row r="821" spans="2:2">
      <c r="B821" s="5"/>
    </row>
    <row r="822" spans="2:2">
      <c r="B822" s="5"/>
    </row>
    <row r="823" spans="2:2">
      <c r="B823" s="5"/>
    </row>
    <row r="824" spans="2:2">
      <c r="B824" s="5"/>
    </row>
    <row r="825" spans="2:2">
      <c r="B825" s="5"/>
    </row>
    <row r="826" spans="2:2">
      <c r="B826" s="5"/>
    </row>
    <row r="827" spans="2:2">
      <c r="B827" s="5"/>
    </row>
    <row r="828" spans="2:2">
      <c r="B828" s="5"/>
    </row>
    <row r="829" spans="2:2">
      <c r="B829" s="5"/>
    </row>
    <row r="830" spans="2:2">
      <c r="B830" s="5"/>
    </row>
    <row r="831" spans="2:2">
      <c r="B831" s="5"/>
    </row>
    <row r="832" spans="2:2">
      <c r="B832" s="5"/>
    </row>
    <row r="833" spans="2:2">
      <c r="B833" s="5"/>
    </row>
    <row r="834" spans="2:2">
      <c r="B834" s="5"/>
    </row>
    <row r="835" spans="2:2">
      <c r="B835" s="5"/>
    </row>
    <row r="836" spans="2:2">
      <c r="B836" s="5"/>
    </row>
    <row r="837" spans="2:2">
      <c r="B837" s="5"/>
    </row>
    <row r="838" spans="2:2">
      <c r="B838" s="5"/>
    </row>
    <row r="839" spans="2:2">
      <c r="B839" s="5"/>
    </row>
    <row r="840" spans="2:2">
      <c r="B840" s="5"/>
    </row>
    <row r="841" spans="2:2">
      <c r="B841" s="5"/>
    </row>
    <row r="842" spans="2:2">
      <c r="B842" s="5"/>
    </row>
    <row r="843" spans="2:2">
      <c r="B843" s="5"/>
    </row>
    <row r="844" spans="2:2">
      <c r="B844" s="5"/>
    </row>
    <row r="845" spans="2:2">
      <c r="B845" s="5"/>
    </row>
    <row r="846" spans="2:2">
      <c r="B846" s="5"/>
    </row>
    <row r="847" spans="2:2">
      <c r="B847" s="5"/>
    </row>
    <row r="848" spans="2:2">
      <c r="B848" s="5"/>
    </row>
    <row r="849" spans="2:2">
      <c r="B849" s="5"/>
    </row>
    <row r="850" spans="2:2">
      <c r="B850" s="5"/>
    </row>
    <row r="851" spans="2:2">
      <c r="B851" s="5"/>
    </row>
    <row r="852" spans="2:2">
      <c r="B852" s="5"/>
    </row>
    <row r="853" spans="2:2">
      <c r="B853" s="5"/>
    </row>
    <row r="854" spans="2:2">
      <c r="B854" s="5"/>
    </row>
    <row r="855" spans="2:2">
      <c r="B855" s="5"/>
    </row>
    <row r="856" spans="2:2">
      <c r="B856" s="5"/>
    </row>
    <row r="857" spans="2:2">
      <c r="B857" s="5"/>
    </row>
    <row r="858" spans="2:2">
      <c r="B858" s="5"/>
    </row>
    <row r="859" spans="2:2">
      <c r="B859" s="5"/>
    </row>
    <row r="860" spans="2:2">
      <c r="B860" s="5"/>
    </row>
    <row r="861" spans="2:2">
      <c r="B861" s="5"/>
    </row>
    <row r="862" spans="2:2">
      <c r="B862" s="5"/>
    </row>
    <row r="863" spans="2:2">
      <c r="B863" s="5"/>
    </row>
    <row r="864" spans="2:2">
      <c r="B864" s="5"/>
    </row>
    <row r="865" spans="2:2">
      <c r="B865" s="5"/>
    </row>
    <row r="866" spans="2:2">
      <c r="B866" s="5"/>
    </row>
    <row r="867" spans="2:2">
      <c r="B867" s="5"/>
    </row>
    <row r="868" spans="2:2">
      <c r="B868" s="5"/>
    </row>
    <row r="869" spans="2:2">
      <c r="B869" s="5"/>
    </row>
    <row r="870" spans="2:2">
      <c r="B870" s="5"/>
    </row>
    <row r="871" spans="2:2">
      <c r="B871" s="5"/>
    </row>
    <row r="872" spans="2:2">
      <c r="B872" s="5"/>
    </row>
    <row r="873" spans="2:2">
      <c r="B873" s="5"/>
    </row>
    <row r="874" spans="2:2">
      <c r="B874" s="5"/>
    </row>
    <row r="875" spans="2:2">
      <c r="B875" s="5"/>
    </row>
    <row r="876" spans="2:2">
      <c r="B876" s="5"/>
    </row>
    <row r="877" spans="2:2">
      <c r="B877" s="5"/>
    </row>
    <row r="878" spans="2:2">
      <c r="B878" s="5"/>
    </row>
    <row r="879" spans="2:2">
      <c r="B879" s="5"/>
    </row>
    <row r="880" spans="2:2">
      <c r="B880" s="5"/>
    </row>
    <row r="881" spans="2:2">
      <c r="B881" s="5"/>
    </row>
    <row r="882" spans="2:2">
      <c r="B882" s="5"/>
    </row>
    <row r="883" spans="2:2">
      <c r="B883" s="5"/>
    </row>
    <row r="884" spans="2:2">
      <c r="B884" s="5"/>
    </row>
    <row r="885" spans="2:2">
      <c r="B885" s="5"/>
    </row>
    <row r="886" spans="2:2">
      <c r="B886" s="5"/>
    </row>
    <row r="887" spans="2:2">
      <c r="B887" s="5"/>
    </row>
    <row r="888" spans="2:2">
      <c r="B888" s="5"/>
    </row>
    <row r="889" spans="2:2">
      <c r="B889" s="5"/>
    </row>
    <row r="890" spans="2:2">
      <c r="B890" s="5"/>
    </row>
    <row r="891" spans="2:2">
      <c r="B891" s="5"/>
    </row>
    <row r="892" spans="2:2">
      <c r="B892" s="5"/>
    </row>
    <row r="893" spans="2:2">
      <c r="B893" s="5"/>
    </row>
    <row r="894" spans="2:2">
      <c r="B894" s="5"/>
    </row>
    <row r="895" spans="2:2">
      <c r="B895" s="5"/>
    </row>
    <row r="896" spans="2:2">
      <c r="B896" s="5"/>
    </row>
    <row r="897" spans="2:2">
      <c r="B897" s="5"/>
    </row>
    <row r="898" spans="2:2">
      <c r="B898" s="5"/>
    </row>
    <row r="899" spans="2:2">
      <c r="B899" s="5"/>
    </row>
    <row r="900" spans="2:2">
      <c r="B900" s="5"/>
    </row>
    <row r="901" spans="2:2">
      <c r="B901" s="5"/>
    </row>
    <row r="902" spans="2:2">
      <c r="B902" s="5"/>
    </row>
    <row r="903" spans="2:2">
      <c r="B903" s="5"/>
    </row>
    <row r="904" spans="2:2">
      <c r="B904" s="5"/>
    </row>
    <row r="905" spans="2:2">
      <c r="B905" s="5"/>
    </row>
    <row r="906" spans="2:2">
      <c r="B906" s="5"/>
    </row>
    <row r="907" spans="2:2">
      <c r="B907" s="5"/>
    </row>
    <row r="908" spans="2:2">
      <c r="B908" s="5"/>
    </row>
    <row r="909" spans="2:2">
      <c r="B909" s="5"/>
    </row>
    <row r="910" spans="2:2">
      <c r="B910" s="5"/>
    </row>
    <row r="911" spans="2:2">
      <c r="B911" s="5"/>
    </row>
    <row r="912" spans="2:2">
      <c r="B912" s="5"/>
    </row>
    <row r="913" spans="2:2">
      <c r="B913" s="5"/>
    </row>
    <row r="914" spans="2:2">
      <c r="B914" s="5"/>
    </row>
    <row r="915" spans="2:2">
      <c r="B915" s="5"/>
    </row>
    <row r="916" spans="2:2">
      <c r="B916" s="5"/>
    </row>
    <row r="917" spans="2:2">
      <c r="B917" s="5"/>
    </row>
    <row r="918" spans="2:2">
      <c r="B918" s="5"/>
    </row>
    <row r="919" spans="2:2">
      <c r="B919" s="5"/>
    </row>
    <row r="920" spans="2:2">
      <c r="B920" s="5"/>
    </row>
    <row r="921" spans="2:2">
      <c r="B921" s="5"/>
    </row>
    <row r="922" spans="2:2">
      <c r="B922" s="5"/>
    </row>
    <row r="923" spans="2:2">
      <c r="B923" s="5"/>
    </row>
    <row r="924" spans="2:2">
      <c r="B924" s="5"/>
    </row>
    <row r="925" spans="2:2">
      <c r="B925" s="5"/>
    </row>
    <row r="926" spans="2:2">
      <c r="B926" s="5"/>
    </row>
    <row r="927" spans="2:2">
      <c r="B927" s="5"/>
    </row>
    <row r="928" spans="2:2">
      <c r="B928" s="5"/>
    </row>
    <row r="929" spans="2:2">
      <c r="B929" s="5"/>
    </row>
    <row r="930" spans="2:2">
      <c r="B930" s="5"/>
    </row>
    <row r="931" spans="2:2">
      <c r="B931" s="5"/>
    </row>
    <row r="932" spans="2:2">
      <c r="B932" s="5"/>
    </row>
    <row r="933" spans="2:2">
      <c r="B933" s="5"/>
    </row>
    <row r="934" spans="2:2">
      <c r="B934" s="5"/>
    </row>
    <row r="935" spans="2:2">
      <c r="B935" s="5"/>
    </row>
    <row r="936" spans="2:2">
      <c r="B936" s="5"/>
    </row>
    <row r="937" spans="2:2">
      <c r="B937" s="5"/>
    </row>
    <row r="938" spans="2:2">
      <c r="B938" s="5"/>
    </row>
    <row r="939" spans="2:2">
      <c r="B939" s="5"/>
    </row>
    <row r="940" spans="2:2">
      <c r="B940" s="5"/>
    </row>
    <row r="941" spans="2:2">
      <c r="B941" s="5"/>
    </row>
    <row r="942" spans="2:2">
      <c r="B942" s="5"/>
    </row>
    <row r="943" spans="2:2">
      <c r="B943" s="5"/>
    </row>
    <row r="944" spans="2:2">
      <c r="B944" s="5"/>
    </row>
    <row r="945" spans="2:2">
      <c r="B945" s="5"/>
    </row>
    <row r="946" spans="2:2">
      <c r="B946" s="5"/>
    </row>
    <row r="947" spans="2:2">
      <c r="B947" s="5"/>
    </row>
    <row r="948" spans="2:2">
      <c r="B948" s="5"/>
    </row>
    <row r="949" spans="2:2">
      <c r="B949" s="5"/>
    </row>
    <row r="950" spans="2:2">
      <c r="B950" s="5"/>
    </row>
    <row r="951" spans="2:2">
      <c r="B951" s="5"/>
    </row>
    <row r="952" spans="2:2">
      <c r="B952" s="5"/>
    </row>
    <row r="953" spans="2:2">
      <c r="B953" s="5"/>
    </row>
    <row r="954" spans="2:2">
      <c r="B954" s="5"/>
    </row>
    <row r="955" spans="2:2">
      <c r="B955" s="5"/>
    </row>
    <row r="956" spans="2:2">
      <c r="B956" s="5"/>
    </row>
    <row r="957" spans="2:2">
      <c r="B957" s="5"/>
    </row>
    <row r="958" spans="2:2">
      <c r="B958" s="5"/>
    </row>
    <row r="959" spans="2:2">
      <c r="B959" s="5"/>
    </row>
    <row r="960" spans="2:2">
      <c r="B960" s="5"/>
    </row>
    <row r="961" spans="2:2">
      <c r="B961" s="5"/>
    </row>
    <row r="962" spans="2:2">
      <c r="B962" s="5"/>
    </row>
    <row r="963" spans="2:2">
      <c r="B963" s="5"/>
    </row>
    <row r="964" spans="2:2">
      <c r="B964" s="5"/>
    </row>
    <row r="965" spans="2:2">
      <c r="B965" s="5"/>
    </row>
    <row r="966" spans="2:2">
      <c r="B966" s="5"/>
    </row>
    <row r="967" spans="2:2">
      <c r="B967" s="5"/>
    </row>
    <row r="968" spans="2:2">
      <c r="B968" s="5"/>
    </row>
    <row r="969" spans="2:2">
      <c r="B969" s="5"/>
    </row>
    <row r="970" spans="2:2">
      <c r="B970" s="5"/>
    </row>
    <row r="971" spans="2:2">
      <c r="B971" s="5"/>
    </row>
    <row r="972" spans="2:2">
      <c r="B972" s="5"/>
    </row>
    <row r="973" spans="2:2">
      <c r="B973" s="5"/>
    </row>
    <row r="974" spans="2:2">
      <c r="B974" s="5"/>
    </row>
    <row r="975" spans="2:2">
      <c r="B975" s="5"/>
    </row>
    <row r="976" spans="2:2">
      <c r="B976" s="5"/>
    </row>
    <row r="977" spans="2:2">
      <c r="B977" s="5"/>
    </row>
    <row r="978" spans="2:2">
      <c r="B978" s="5"/>
    </row>
    <row r="979" spans="2:2">
      <c r="B979" s="5"/>
    </row>
    <row r="980" spans="2:2">
      <c r="B980" s="5"/>
    </row>
    <row r="981" spans="2:2">
      <c r="B981" s="5"/>
    </row>
    <row r="982" spans="2:2">
      <c r="B982" s="5"/>
    </row>
    <row r="983" spans="2:2">
      <c r="B983" s="5"/>
    </row>
    <row r="984" spans="2:2">
      <c r="B984" s="5"/>
    </row>
    <row r="985" spans="2:2">
      <c r="B985" s="5"/>
    </row>
    <row r="986" spans="2:2">
      <c r="B986" s="5"/>
    </row>
    <row r="987" spans="2:2">
      <c r="B987" s="5"/>
    </row>
    <row r="988" spans="2:2">
      <c r="B988" s="5"/>
    </row>
    <row r="989" spans="2:2">
      <c r="B989" s="5"/>
    </row>
    <row r="990" spans="2:2">
      <c r="B990" s="5"/>
    </row>
    <row r="991" spans="2:2">
      <c r="B991" s="5"/>
    </row>
    <row r="992" spans="2:2">
      <c r="B992" s="5"/>
    </row>
    <row r="993" spans="2:2">
      <c r="B993" s="5"/>
    </row>
    <row r="994" spans="2:2">
      <c r="B994" s="5"/>
    </row>
    <row r="995" spans="2:2">
      <c r="B995" s="5"/>
    </row>
    <row r="996" spans="2:2">
      <c r="B996" s="5"/>
    </row>
    <row r="997" spans="2:2">
      <c r="B997" s="5"/>
    </row>
    <row r="998" spans="2:2">
      <c r="B998" s="5"/>
    </row>
    <row r="999" spans="2:2">
      <c r="B999" s="5"/>
    </row>
    <row r="1000" spans="2:2">
      <c r="B1000" s="5"/>
    </row>
  </sheetData>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defaultColWidth="15.140625" defaultRowHeight="15" customHeight="1"/>
  <cols>
    <col min="1" max="1" width="17.140625" customWidth="1"/>
    <col min="2" max="2" width="14.7109375" customWidth="1"/>
    <col min="3" max="26" width="7.5703125" customWidth="1"/>
  </cols>
  <sheetData>
    <row r="1" spans="1:2">
      <c r="A1" s="6" t="s">
        <v>312</v>
      </c>
      <c r="B1" s="15" t="s">
        <v>241</v>
      </c>
    </row>
    <row r="2" spans="1:2">
      <c r="A2" s="10" t="s">
        <v>91</v>
      </c>
      <c r="B2" s="5">
        <v>23</v>
      </c>
    </row>
    <row r="3" spans="1:2">
      <c r="A3" s="10" t="s">
        <v>96</v>
      </c>
      <c r="B3" s="5">
        <v>22</v>
      </c>
    </row>
    <row r="4" spans="1:2">
      <c r="A4" s="10" t="s">
        <v>111</v>
      </c>
      <c r="B4" s="5">
        <v>11</v>
      </c>
    </row>
    <row r="5" spans="1:2">
      <c r="A5" s="10" t="s">
        <v>152</v>
      </c>
      <c r="B5" s="5">
        <v>10</v>
      </c>
    </row>
    <row r="6" spans="1:2">
      <c r="A6" s="10" t="s">
        <v>204</v>
      </c>
      <c r="B6" s="5">
        <v>9</v>
      </c>
    </row>
    <row r="7" spans="1:2">
      <c r="A7" s="10" t="s">
        <v>130</v>
      </c>
      <c r="B7" s="5">
        <v>7</v>
      </c>
    </row>
    <row r="8" spans="1:2">
      <c r="A8" s="10" t="s">
        <v>215</v>
      </c>
      <c r="B8" s="5">
        <v>7</v>
      </c>
    </row>
    <row r="9" spans="1:2">
      <c r="A9" s="10" t="s">
        <v>313</v>
      </c>
      <c r="B9" s="5">
        <v>5</v>
      </c>
    </row>
    <row r="10" spans="1:2">
      <c r="A10" s="10" t="s">
        <v>314</v>
      </c>
      <c r="B10" s="5">
        <v>4</v>
      </c>
    </row>
    <row r="11" spans="1:2">
      <c r="A11" s="10" t="s">
        <v>315</v>
      </c>
      <c r="B11" s="5">
        <v>3</v>
      </c>
    </row>
    <row r="12" spans="1:2">
      <c r="A12" s="10" t="s">
        <v>316</v>
      </c>
      <c r="B12" s="5">
        <v>3</v>
      </c>
    </row>
    <row r="13" spans="1:2">
      <c r="A13" s="10" t="s">
        <v>81</v>
      </c>
      <c r="B13" s="5">
        <v>3</v>
      </c>
    </row>
    <row r="14" spans="1:2">
      <c r="A14" s="10" t="s">
        <v>290</v>
      </c>
      <c r="B14" s="5">
        <v>3</v>
      </c>
    </row>
    <row r="15" spans="1:2">
      <c r="A15" s="10" t="s">
        <v>317</v>
      </c>
      <c r="B15" s="5">
        <v>2</v>
      </c>
    </row>
    <row r="16" spans="1:2">
      <c r="A16" s="10" t="s">
        <v>318</v>
      </c>
      <c r="B16" s="5">
        <v>2</v>
      </c>
    </row>
    <row r="17" spans="1:2">
      <c r="A17" s="10" t="s">
        <v>319</v>
      </c>
      <c r="B17" s="5">
        <v>2</v>
      </c>
    </row>
    <row r="18" spans="1:2">
      <c r="A18" s="10" t="s">
        <v>320</v>
      </c>
      <c r="B18" s="5">
        <v>1</v>
      </c>
    </row>
    <row r="19" spans="1:2">
      <c r="A19" s="10" t="s">
        <v>321</v>
      </c>
      <c r="B19" s="5">
        <v>1</v>
      </c>
    </row>
    <row r="20" spans="1:2">
      <c r="A20" s="10" t="s">
        <v>322</v>
      </c>
      <c r="B20" s="5">
        <v>1</v>
      </c>
    </row>
    <row r="21" spans="1:2">
      <c r="A21" s="4" t="s">
        <v>323</v>
      </c>
      <c r="B21" s="5">
        <v>1</v>
      </c>
    </row>
    <row r="22" spans="1:2">
      <c r="A22" s="4" t="s">
        <v>324</v>
      </c>
      <c r="B22" s="5">
        <v>1</v>
      </c>
    </row>
    <row r="23" spans="1:2">
      <c r="A23" s="10" t="s">
        <v>185</v>
      </c>
      <c r="B23" s="5">
        <v>1</v>
      </c>
    </row>
    <row r="24" spans="1:2">
      <c r="A24" s="10" t="s">
        <v>325</v>
      </c>
      <c r="B24" s="5">
        <v>1</v>
      </c>
    </row>
    <row r="25" spans="1:2">
      <c r="A25" s="10" t="s">
        <v>326</v>
      </c>
      <c r="B25" s="5">
        <v>1</v>
      </c>
    </row>
    <row r="26" spans="1:2">
      <c r="A26" s="10" t="s">
        <v>327</v>
      </c>
      <c r="B26" s="5">
        <v>1</v>
      </c>
    </row>
    <row r="27" spans="1:2">
      <c r="A27" s="10" t="s">
        <v>328</v>
      </c>
      <c r="B27" s="5">
        <v>1</v>
      </c>
    </row>
    <row r="28" spans="1:2">
      <c r="A28" s="10" t="s">
        <v>329</v>
      </c>
      <c r="B28" s="5">
        <v>1</v>
      </c>
    </row>
    <row r="29" spans="1:2" ht="15.75">
      <c r="A29" s="17" t="s">
        <v>194</v>
      </c>
      <c r="B29" s="5">
        <v>1</v>
      </c>
    </row>
    <row r="30" spans="1:2">
      <c r="A30" s="10" t="s">
        <v>330</v>
      </c>
      <c r="B30" s="5">
        <v>1</v>
      </c>
    </row>
    <row r="31" spans="1:2">
      <c r="A31" s="10" t="s">
        <v>122</v>
      </c>
      <c r="B31" s="5">
        <v>1</v>
      </c>
    </row>
    <row r="32" spans="1:2">
      <c r="A32" s="10" t="s">
        <v>331</v>
      </c>
      <c r="B32" s="5">
        <v>1</v>
      </c>
    </row>
    <row r="33" spans="1:2">
      <c r="A33" s="10" t="s">
        <v>332</v>
      </c>
      <c r="B33" s="5">
        <v>1</v>
      </c>
    </row>
    <row r="34" spans="1:2">
      <c r="A34" s="10" t="s">
        <v>333</v>
      </c>
      <c r="B34" s="5">
        <v>1</v>
      </c>
    </row>
    <row r="35" spans="1:2">
      <c r="A35" s="10" t="s">
        <v>282</v>
      </c>
      <c r="B35" s="5">
        <v>1</v>
      </c>
    </row>
    <row r="36" spans="1:2" ht="30" customHeight="1">
      <c r="A36" s="10" t="s">
        <v>334</v>
      </c>
      <c r="B36" s="5">
        <v>1</v>
      </c>
    </row>
    <row r="37" spans="1:2" ht="30" customHeight="1">
      <c r="A37" s="10" t="s">
        <v>335</v>
      </c>
      <c r="B37" s="5">
        <v>1</v>
      </c>
    </row>
    <row r="38" spans="1:2" ht="30" customHeight="1">
      <c r="A38" s="10" t="s">
        <v>336</v>
      </c>
      <c r="B38" s="5">
        <v>1</v>
      </c>
    </row>
    <row r="39" spans="1:2" ht="30">
      <c r="A39" s="10" t="s">
        <v>337</v>
      </c>
      <c r="B39" s="5">
        <v>1</v>
      </c>
    </row>
    <row r="40" spans="1:2" ht="45" customHeight="1">
      <c r="A40" s="10" t="s">
        <v>338</v>
      </c>
      <c r="B40" s="5">
        <v>1</v>
      </c>
    </row>
    <row r="41" spans="1:2">
      <c r="A41" s="10"/>
      <c r="B41" s="14">
        <f>SUM(B18:B40)</f>
        <v>23</v>
      </c>
    </row>
    <row r="42" spans="1:2">
      <c r="A42" s="10"/>
      <c r="B42" s="5"/>
    </row>
    <row r="43" spans="1:2">
      <c r="A43" s="10"/>
      <c r="B43" s="5"/>
    </row>
    <row r="44" spans="1:2">
      <c r="A44" s="10"/>
      <c r="B44" s="5"/>
    </row>
    <row r="45" spans="1:2">
      <c r="A45" s="10"/>
      <c r="B45" s="5"/>
    </row>
    <row r="46" spans="1:2">
      <c r="A46" s="10"/>
      <c r="B46" s="5"/>
    </row>
    <row r="47" spans="1:2">
      <c r="A47" s="10"/>
      <c r="B47" s="5"/>
    </row>
    <row r="48" spans="1:2">
      <c r="A48" s="10"/>
      <c r="B48" s="5"/>
    </row>
    <row r="49" spans="1:2">
      <c r="A49" s="10"/>
      <c r="B49" s="5"/>
    </row>
    <row r="50" spans="1:2">
      <c r="A50" s="10"/>
      <c r="B50" s="5"/>
    </row>
    <row r="51" spans="1:2" ht="15.75" customHeight="1">
      <c r="A51" s="17"/>
      <c r="B51" s="5"/>
    </row>
    <row r="52" spans="1:2" ht="15.75" customHeight="1">
      <c r="A52" s="17"/>
      <c r="B52" s="5"/>
    </row>
    <row r="53" spans="1:2" ht="15.75" customHeight="1">
      <c r="A53" s="17"/>
      <c r="B53" s="5"/>
    </row>
    <row r="54" spans="1:2" ht="15.75" customHeight="1">
      <c r="A54" s="17"/>
      <c r="B54" s="5"/>
    </row>
    <row r="55" spans="1:2" ht="15.75" customHeight="1">
      <c r="A55" s="17"/>
      <c r="B55" s="5"/>
    </row>
    <row r="56" spans="1:2">
      <c r="A56" s="10"/>
      <c r="B56" s="5"/>
    </row>
    <row r="57" spans="1:2">
      <c r="A57" s="10"/>
      <c r="B57" s="5"/>
    </row>
    <row r="58" spans="1:2">
      <c r="A58" s="10"/>
      <c r="B58" s="5"/>
    </row>
    <row r="59" spans="1:2">
      <c r="A59" s="10"/>
      <c r="B59" s="5"/>
    </row>
    <row r="60" spans="1:2">
      <c r="A60" s="10"/>
      <c r="B60" s="5"/>
    </row>
    <row r="61" spans="1:2">
      <c r="A61" s="10"/>
      <c r="B61" s="5"/>
    </row>
    <row r="62" spans="1:2">
      <c r="A62" s="10"/>
      <c r="B62" s="5"/>
    </row>
    <row r="63" spans="1:2">
      <c r="A63" s="10"/>
      <c r="B63" s="5"/>
    </row>
    <row r="64" spans="1:2">
      <c r="A64" s="10"/>
      <c r="B64" s="5"/>
    </row>
    <row r="65" spans="1:2">
      <c r="A65" s="10"/>
      <c r="B65" s="5"/>
    </row>
    <row r="66" spans="1:2">
      <c r="A66" s="10"/>
      <c r="B66" s="5"/>
    </row>
    <row r="67" spans="1:2">
      <c r="A67" s="10"/>
      <c r="B67" s="5"/>
    </row>
    <row r="68" spans="1:2">
      <c r="A68" s="10"/>
      <c r="B68" s="5"/>
    </row>
    <row r="69" spans="1:2">
      <c r="A69" s="10"/>
      <c r="B69" s="5"/>
    </row>
    <row r="70" spans="1:2">
      <c r="A70" s="10"/>
      <c r="B70" s="5"/>
    </row>
    <row r="71" spans="1:2">
      <c r="A71" s="10"/>
      <c r="B71" s="5"/>
    </row>
    <row r="72" spans="1:2">
      <c r="A72" s="10"/>
      <c r="B72" s="5"/>
    </row>
    <row r="73" spans="1:2">
      <c r="A73" s="10"/>
      <c r="B73" s="5"/>
    </row>
    <row r="74" spans="1:2">
      <c r="A74" s="10"/>
      <c r="B74" s="5"/>
    </row>
    <row r="75" spans="1:2">
      <c r="A75" s="10"/>
      <c r="B75" s="5"/>
    </row>
    <row r="76" spans="1:2">
      <c r="A76" s="10"/>
      <c r="B76" s="5"/>
    </row>
    <row r="77" spans="1:2">
      <c r="A77" s="10"/>
      <c r="B77" s="5"/>
    </row>
    <row r="78" spans="1:2">
      <c r="A78" s="10"/>
      <c r="B78" s="5"/>
    </row>
    <row r="79" spans="1:2">
      <c r="A79" s="10"/>
      <c r="B79" s="5"/>
    </row>
    <row r="80" spans="1:2">
      <c r="A80" s="10"/>
      <c r="B80" s="5"/>
    </row>
    <row r="81" spans="1:2">
      <c r="A81" s="10"/>
      <c r="B81" s="5"/>
    </row>
    <row r="82" spans="1:2">
      <c r="A82" s="10"/>
      <c r="B82" s="5"/>
    </row>
    <row r="83" spans="1:2">
      <c r="A83" s="10"/>
      <c r="B83" s="5"/>
    </row>
    <row r="84" spans="1:2">
      <c r="A84" s="10"/>
      <c r="B84" s="5"/>
    </row>
    <row r="85" spans="1:2">
      <c r="A85" s="10"/>
      <c r="B85" s="5"/>
    </row>
    <row r="86" spans="1:2">
      <c r="A86" s="10"/>
      <c r="B86" s="5"/>
    </row>
    <row r="87" spans="1:2">
      <c r="A87" s="10"/>
      <c r="B87" s="5"/>
    </row>
    <row r="88" spans="1:2">
      <c r="A88" s="10"/>
      <c r="B88" s="5"/>
    </row>
    <row r="89" spans="1:2">
      <c r="A89" s="10"/>
      <c r="B89" s="5"/>
    </row>
    <row r="90" spans="1:2">
      <c r="A90" s="10"/>
      <c r="B90" s="5"/>
    </row>
    <row r="91" spans="1:2">
      <c r="A91" s="10"/>
      <c r="B91" s="5"/>
    </row>
    <row r="92" spans="1:2">
      <c r="A92" s="10"/>
      <c r="B92" s="5"/>
    </row>
    <row r="93" spans="1:2">
      <c r="A93" s="10"/>
      <c r="B93" s="5"/>
    </row>
    <row r="94" spans="1:2">
      <c r="A94" s="10"/>
      <c r="B94" s="5"/>
    </row>
    <row r="95" spans="1:2">
      <c r="A95" s="10"/>
      <c r="B95" s="5"/>
    </row>
    <row r="96" spans="1:2">
      <c r="A96" s="10"/>
      <c r="B96" s="5"/>
    </row>
    <row r="97" spans="1:2">
      <c r="A97" s="10"/>
      <c r="B97" s="5"/>
    </row>
    <row r="98" spans="1:2">
      <c r="A98" s="10"/>
      <c r="B98" s="5"/>
    </row>
    <row r="99" spans="1:2">
      <c r="A99" s="10"/>
      <c r="B99" s="5"/>
    </row>
    <row r="100" spans="1:2">
      <c r="A100" s="10"/>
      <c r="B100" s="5"/>
    </row>
    <row r="101" spans="1:2">
      <c r="A101" s="10"/>
      <c r="B101" s="5"/>
    </row>
    <row r="102" spans="1:2">
      <c r="A102" s="10"/>
      <c r="B102" s="5"/>
    </row>
    <row r="103" spans="1:2">
      <c r="A103" s="10"/>
      <c r="B103" s="5"/>
    </row>
    <row r="104" spans="1:2">
      <c r="A104" s="10"/>
      <c r="B104" s="5"/>
    </row>
    <row r="105" spans="1:2">
      <c r="A105" s="10"/>
      <c r="B105" s="5"/>
    </row>
    <row r="106" spans="1:2">
      <c r="A106" s="10"/>
      <c r="B106" s="5"/>
    </row>
    <row r="107" spans="1:2">
      <c r="A107" s="10"/>
      <c r="B107" s="5"/>
    </row>
    <row r="108" spans="1:2">
      <c r="A108" s="10"/>
      <c r="B108" s="5"/>
    </row>
    <row r="109" spans="1:2">
      <c r="A109" s="10"/>
      <c r="B109" s="5"/>
    </row>
    <row r="110" spans="1:2">
      <c r="A110" s="10"/>
      <c r="B110" s="5"/>
    </row>
    <row r="111" spans="1:2">
      <c r="A111" s="10"/>
      <c r="B111" s="5"/>
    </row>
    <row r="112" spans="1:2">
      <c r="A112" s="10"/>
      <c r="B112" s="5"/>
    </row>
    <row r="113" spans="1:2">
      <c r="A113" s="10"/>
      <c r="B113" s="5"/>
    </row>
    <row r="114" spans="1:2">
      <c r="A114" s="10"/>
      <c r="B114" s="5"/>
    </row>
    <row r="115" spans="1:2">
      <c r="A115" s="10"/>
      <c r="B115" s="5"/>
    </row>
    <row r="116" spans="1:2">
      <c r="A116" s="10"/>
      <c r="B116" s="5"/>
    </row>
    <row r="117" spans="1:2">
      <c r="A117" s="10"/>
      <c r="B117" s="5"/>
    </row>
    <row r="118" spans="1:2">
      <c r="A118" s="10"/>
      <c r="B118" s="5"/>
    </row>
    <row r="119" spans="1:2">
      <c r="A119" s="10"/>
      <c r="B119" s="5"/>
    </row>
    <row r="120" spans="1:2">
      <c r="A120" s="10"/>
      <c r="B120" s="5"/>
    </row>
    <row r="121" spans="1:2">
      <c r="A121" s="10"/>
      <c r="B121" s="5"/>
    </row>
    <row r="122" spans="1:2">
      <c r="A122" s="10"/>
      <c r="B122" s="5"/>
    </row>
    <row r="123" spans="1:2">
      <c r="A123" s="10"/>
      <c r="B123" s="5"/>
    </row>
    <row r="124" spans="1:2">
      <c r="A124" s="10"/>
      <c r="B124" s="5"/>
    </row>
    <row r="125" spans="1:2">
      <c r="A125" s="10"/>
      <c r="B125" s="5"/>
    </row>
    <row r="126" spans="1:2">
      <c r="A126" s="10"/>
      <c r="B126" s="5"/>
    </row>
    <row r="127" spans="1:2">
      <c r="A127" s="3"/>
      <c r="B127" s="5"/>
    </row>
    <row r="128" spans="1:2">
      <c r="A128" s="10"/>
      <c r="B128" s="5"/>
    </row>
    <row r="129" spans="1:2">
      <c r="A129" s="10"/>
      <c r="B129" s="5"/>
    </row>
    <row r="130" spans="1:2">
      <c r="A130" s="10"/>
      <c r="B130" s="5"/>
    </row>
    <row r="131" spans="1:2">
      <c r="A131" s="10"/>
      <c r="B131" s="5"/>
    </row>
    <row r="132" spans="1:2">
      <c r="A132" s="10"/>
      <c r="B132" s="5"/>
    </row>
    <row r="133" spans="1:2">
      <c r="A133" s="10"/>
      <c r="B133" s="5"/>
    </row>
    <row r="134" spans="1:2">
      <c r="A134" s="10"/>
      <c r="B134" s="5"/>
    </row>
    <row r="135" spans="1:2">
      <c r="A135" s="10"/>
      <c r="B135" s="5"/>
    </row>
    <row r="136" spans="1:2">
      <c r="A136" s="5"/>
      <c r="B136" s="5"/>
    </row>
    <row r="137" spans="1:2">
      <c r="A137" s="5"/>
      <c r="B137" s="5"/>
    </row>
    <row r="138" spans="1:2">
      <c r="A138" s="5"/>
      <c r="B138" s="5"/>
    </row>
    <row r="139" spans="1:2">
      <c r="A139" s="5"/>
      <c r="B139" s="5"/>
    </row>
    <row r="140" spans="1:2">
      <c r="A140" s="5"/>
      <c r="B140" s="5"/>
    </row>
    <row r="141" spans="1:2">
      <c r="A141" s="5"/>
      <c r="B141" s="5"/>
    </row>
    <row r="142" spans="1:2">
      <c r="A142" s="5"/>
      <c r="B142" s="5"/>
    </row>
    <row r="143" spans="1:2">
      <c r="A143" s="5"/>
      <c r="B143" s="5"/>
    </row>
    <row r="144" spans="1:2">
      <c r="A144" s="5"/>
      <c r="B144" s="5"/>
    </row>
    <row r="145" spans="1:2">
      <c r="A145" s="5"/>
      <c r="B145" s="5"/>
    </row>
    <row r="146" spans="1:2">
      <c r="A146" s="5"/>
      <c r="B146" s="5"/>
    </row>
    <row r="147" spans="1:2">
      <c r="A147" s="5"/>
      <c r="B147" s="5"/>
    </row>
    <row r="148" spans="1:2">
      <c r="A148" s="5"/>
      <c r="B148" s="5"/>
    </row>
    <row r="149" spans="1:2">
      <c r="A149" s="5"/>
      <c r="B149" s="5"/>
    </row>
    <row r="150" spans="1:2">
      <c r="A150" s="5"/>
      <c r="B150" s="5"/>
    </row>
    <row r="151" spans="1:2">
      <c r="A151" s="5"/>
      <c r="B151" s="5"/>
    </row>
    <row r="152" spans="1:2">
      <c r="A152" s="5"/>
      <c r="B152" s="5"/>
    </row>
    <row r="153" spans="1:2">
      <c r="A153" s="5"/>
      <c r="B153" s="5"/>
    </row>
    <row r="154" spans="1:2">
      <c r="A154" s="5"/>
      <c r="B154" s="5"/>
    </row>
    <row r="155" spans="1:2">
      <c r="A155" s="5"/>
      <c r="B155" s="5"/>
    </row>
    <row r="156" spans="1:2">
      <c r="A156" s="5"/>
      <c r="B156" s="5"/>
    </row>
    <row r="157" spans="1:2">
      <c r="A157" s="5"/>
      <c r="B157" s="5"/>
    </row>
    <row r="158" spans="1:2">
      <c r="A158" s="5"/>
      <c r="B158" s="5"/>
    </row>
    <row r="159" spans="1:2">
      <c r="A159" s="5"/>
      <c r="B159" s="5"/>
    </row>
    <row r="160" spans="1:2">
      <c r="A160" s="5"/>
      <c r="B160" s="5"/>
    </row>
    <row r="161" spans="1:2">
      <c r="A161" s="5"/>
      <c r="B161" s="5"/>
    </row>
    <row r="162" spans="1:2">
      <c r="A162" s="5"/>
      <c r="B162" s="5"/>
    </row>
    <row r="163" spans="1:2">
      <c r="A163" s="5"/>
      <c r="B163" s="5"/>
    </row>
    <row r="164" spans="1:2">
      <c r="A164" s="5"/>
      <c r="B164" s="5"/>
    </row>
    <row r="165" spans="1:2">
      <c r="A165" s="5"/>
      <c r="B165" s="5"/>
    </row>
    <row r="166" spans="1:2">
      <c r="A166" s="5"/>
      <c r="B166" s="5"/>
    </row>
    <row r="167" spans="1:2">
      <c r="A167" s="5"/>
      <c r="B167" s="5"/>
    </row>
    <row r="168" spans="1:2">
      <c r="A168" s="5"/>
      <c r="B168" s="5"/>
    </row>
    <row r="169" spans="1:2">
      <c r="A169" s="5"/>
      <c r="B169" s="5"/>
    </row>
    <row r="170" spans="1:2">
      <c r="A170" s="5"/>
      <c r="B170" s="5"/>
    </row>
    <row r="171" spans="1:2">
      <c r="A171" s="5"/>
      <c r="B171" s="5"/>
    </row>
    <row r="172" spans="1:2">
      <c r="A172" s="5"/>
      <c r="B172" s="5"/>
    </row>
    <row r="173" spans="1:2">
      <c r="A173" s="5"/>
      <c r="B173" s="5"/>
    </row>
    <row r="174" spans="1:2">
      <c r="A174" s="5"/>
      <c r="B174" s="5"/>
    </row>
    <row r="175" spans="1:2">
      <c r="A175" s="5"/>
      <c r="B175" s="5"/>
    </row>
    <row r="176" spans="1:2">
      <c r="A176" s="5"/>
      <c r="B176" s="5"/>
    </row>
    <row r="177" spans="1:2">
      <c r="A177" s="5"/>
      <c r="B177" s="5"/>
    </row>
    <row r="178" spans="1:2">
      <c r="A178" s="5"/>
      <c r="B178" s="5"/>
    </row>
    <row r="179" spans="1:2">
      <c r="A179" s="5"/>
      <c r="B179" s="5"/>
    </row>
    <row r="180" spans="1:2">
      <c r="A180" s="5"/>
      <c r="B180" s="5"/>
    </row>
    <row r="181" spans="1:2">
      <c r="A181" s="5"/>
      <c r="B181" s="5"/>
    </row>
    <row r="182" spans="1:2">
      <c r="A182" s="5"/>
      <c r="B182" s="5"/>
    </row>
    <row r="183" spans="1:2">
      <c r="A183" s="5"/>
      <c r="B183" s="5"/>
    </row>
    <row r="184" spans="1:2">
      <c r="A184" s="5"/>
      <c r="B184" s="5"/>
    </row>
    <row r="185" spans="1:2">
      <c r="A185" s="5"/>
      <c r="B185" s="5"/>
    </row>
    <row r="186" spans="1:2">
      <c r="A186" s="5"/>
      <c r="B186" s="5"/>
    </row>
    <row r="187" spans="1:2">
      <c r="A187" s="5"/>
      <c r="B187" s="5"/>
    </row>
    <row r="188" spans="1:2">
      <c r="A188" s="5"/>
      <c r="B188" s="5"/>
    </row>
    <row r="189" spans="1:2">
      <c r="A189" s="5"/>
      <c r="B189" s="5"/>
    </row>
    <row r="190" spans="1:2">
      <c r="A190" s="5"/>
      <c r="B190" s="5"/>
    </row>
    <row r="191" spans="1:2">
      <c r="A191" s="5"/>
      <c r="B191" s="5"/>
    </row>
    <row r="192" spans="1:2">
      <c r="A192" s="5"/>
      <c r="B192" s="5"/>
    </row>
    <row r="193" spans="1:2">
      <c r="A193" s="5"/>
      <c r="B193" s="5"/>
    </row>
    <row r="194" spans="1:2">
      <c r="A194" s="5"/>
      <c r="B194" s="5"/>
    </row>
    <row r="195" spans="1:2">
      <c r="A195" s="5"/>
      <c r="B195" s="5"/>
    </row>
    <row r="196" spans="1:2">
      <c r="A196" s="5"/>
      <c r="B196" s="5"/>
    </row>
    <row r="197" spans="1:2">
      <c r="A197" s="5"/>
      <c r="B197" s="5"/>
    </row>
    <row r="198" spans="1:2">
      <c r="A198" s="5"/>
      <c r="B198" s="5"/>
    </row>
    <row r="199" spans="1:2">
      <c r="A199" s="5"/>
      <c r="B199" s="5"/>
    </row>
    <row r="200" spans="1:2">
      <c r="A200" s="5"/>
      <c r="B200" s="5"/>
    </row>
    <row r="201" spans="1:2">
      <c r="A201" s="5"/>
      <c r="B201" s="5"/>
    </row>
    <row r="202" spans="1:2">
      <c r="A202" s="5"/>
      <c r="B202" s="5"/>
    </row>
    <row r="203" spans="1:2">
      <c r="A203" s="5"/>
      <c r="B203" s="5"/>
    </row>
    <row r="204" spans="1:2">
      <c r="A204" s="5"/>
      <c r="B204" s="5"/>
    </row>
    <row r="205" spans="1:2">
      <c r="A205" s="5"/>
      <c r="B205" s="5"/>
    </row>
    <row r="206" spans="1:2">
      <c r="A206" s="5"/>
      <c r="B206" s="5"/>
    </row>
    <row r="207" spans="1:2">
      <c r="A207" s="5"/>
      <c r="B207" s="5"/>
    </row>
    <row r="208" spans="1:2">
      <c r="A208" s="5"/>
      <c r="B208" s="5"/>
    </row>
    <row r="209" spans="1:2">
      <c r="A209" s="5"/>
      <c r="B209" s="5"/>
    </row>
    <row r="210" spans="1:2">
      <c r="A210" s="5"/>
      <c r="B210" s="5"/>
    </row>
    <row r="211" spans="1:2">
      <c r="A211" s="5"/>
      <c r="B211" s="5"/>
    </row>
    <row r="212" spans="1:2">
      <c r="A212" s="5"/>
      <c r="B212" s="5"/>
    </row>
    <row r="213" spans="1:2">
      <c r="A213" s="5"/>
      <c r="B213" s="5"/>
    </row>
    <row r="214" spans="1:2">
      <c r="A214" s="5"/>
      <c r="B214" s="5"/>
    </row>
    <row r="215" spans="1:2">
      <c r="A215" s="5"/>
      <c r="B215" s="5"/>
    </row>
    <row r="216" spans="1:2">
      <c r="A216" s="5"/>
      <c r="B216" s="5"/>
    </row>
    <row r="217" spans="1:2">
      <c r="A217" s="5"/>
      <c r="B217" s="5"/>
    </row>
    <row r="218" spans="1:2">
      <c r="A218" s="5"/>
      <c r="B218" s="5"/>
    </row>
    <row r="219" spans="1:2">
      <c r="A219" s="5"/>
      <c r="B219" s="5"/>
    </row>
    <row r="220" spans="1:2">
      <c r="A220" s="5"/>
      <c r="B220" s="5"/>
    </row>
    <row r="221" spans="1:2">
      <c r="A221" s="5"/>
      <c r="B221" s="5"/>
    </row>
    <row r="222" spans="1:2">
      <c r="A222" s="5"/>
      <c r="B222" s="5"/>
    </row>
    <row r="223" spans="1:2">
      <c r="A223" s="5"/>
      <c r="B223" s="5"/>
    </row>
    <row r="224" spans="1:2">
      <c r="A224" s="5"/>
      <c r="B224" s="5"/>
    </row>
    <row r="225" spans="1:2">
      <c r="A225" s="5"/>
      <c r="B225" s="5"/>
    </row>
    <row r="226" spans="1:2">
      <c r="A226" s="5"/>
      <c r="B226" s="5"/>
    </row>
    <row r="227" spans="1:2">
      <c r="A227" s="5"/>
      <c r="B227" s="5"/>
    </row>
    <row r="228" spans="1:2">
      <c r="A228" s="5"/>
      <c r="B228" s="5"/>
    </row>
    <row r="229" spans="1:2">
      <c r="A229" s="5"/>
      <c r="B229" s="5"/>
    </row>
    <row r="230" spans="1:2">
      <c r="A230" s="5"/>
      <c r="B230" s="5"/>
    </row>
    <row r="231" spans="1:2">
      <c r="A231" s="5"/>
      <c r="B231" s="5"/>
    </row>
    <row r="232" spans="1:2">
      <c r="A232" s="5"/>
      <c r="B232" s="5"/>
    </row>
    <row r="233" spans="1:2">
      <c r="A233" s="5"/>
      <c r="B233" s="5"/>
    </row>
    <row r="234" spans="1:2">
      <c r="A234" s="5"/>
      <c r="B234" s="5"/>
    </row>
    <row r="235" spans="1:2">
      <c r="A235" s="5"/>
      <c r="B235" s="5"/>
    </row>
    <row r="236" spans="1:2">
      <c r="A236" s="5"/>
      <c r="B236" s="5"/>
    </row>
    <row r="237" spans="1:2">
      <c r="A237" s="5"/>
      <c r="B237" s="5"/>
    </row>
    <row r="238" spans="1:2">
      <c r="A238" s="5"/>
      <c r="B238" s="5"/>
    </row>
    <row r="239" spans="1:2">
      <c r="A239" s="5"/>
      <c r="B239" s="5"/>
    </row>
    <row r="240" spans="1:2">
      <c r="A240" s="5"/>
      <c r="B240" s="5"/>
    </row>
    <row r="241" spans="1:2">
      <c r="A241" s="5"/>
      <c r="B241" s="5"/>
    </row>
    <row r="242" spans="1:2">
      <c r="A242" s="5"/>
      <c r="B242" s="5"/>
    </row>
    <row r="243" spans="1:2">
      <c r="A243" s="5"/>
      <c r="B243" s="5"/>
    </row>
    <row r="244" spans="1:2">
      <c r="A244" s="5"/>
      <c r="B244" s="5"/>
    </row>
    <row r="245" spans="1:2">
      <c r="A245" s="5"/>
      <c r="B245" s="5"/>
    </row>
    <row r="246" spans="1:2">
      <c r="A246" s="5"/>
      <c r="B246" s="5"/>
    </row>
    <row r="247" spans="1:2">
      <c r="A247" s="5"/>
      <c r="B247" s="5"/>
    </row>
    <row r="248" spans="1:2">
      <c r="A248" s="5"/>
      <c r="B248" s="5"/>
    </row>
    <row r="249" spans="1:2">
      <c r="A249" s="5"/>
      <c r="B249" s="5"/>
    </row>
    <row r="250" spans="1:2">
      <c r="A250" s="5"/>
      <c r="B250" s="5"/>
    </row>
    <row r="251" spans="1:2">
      <c r="A251" s="5"/>
      <c r="B251" s="5"/>
    </row>
    <row r="252" spans="1:2">
      <c r="A252" s="5"/>
      <c r="B252" s="5"/>
    </row>
    <row r="253" spans="1:2">
      <c r="A253" s="5"/>
      <c r="B253" s="5"/>
    </row>
    <row r="254" spans="1:2">
      <c r="A254" s="5"/>
      <c r="B254" s="5"/>
    </row>
    <row r="255" spans="1:2">
      <c r="A255" s="5"/>
      <c r="B255" s="5"/>
    </row>
    <row r="256" spans="1:2">
      <c r="A256" s="5"/>
      <c r="B256" s="5"/>
    </row>
    <row r="257" spans="1:2">
      <c r="A257" s="5"/>
      <c r="B257" s="5"/>
    </row>
    <row r="258" spans="1:2">
      <c r="A258" s="5"/>
      <c r="B258" s="5"/>
    </row>
    <row r="259" spans="1:2">
      <c r="A259" s="5"/>
      <c r="B259" s="5"/>
    </row>
    <row r="260" spans="1:2">
      <c r="A260" s="5"/>
      <c r="B260" s="5"/>
    </row>
    <row r="261" spans="1:2">
      <c r="A261" s="5"/>
      <c r="B261" s="5"/>
    </row>
    <row r="262" spans="1:2">
      <c r="A262" s="5"/>
      <c r="B262" s="5"/>
    </row>
    <row r="263" spans="1:2">
      <c r="A263" s="5"/>
      <c r="B263" s="5"/>
    </row>
    <row r="264" spans="1:2">
      <c r="A264" s="5"/>
      <c r="B264" s="5"/>
    </row>
    <row r="265" spans="1:2">
      <c r="A265" s="5"/>
      <c r="B265" s="5"/>
    </row>
    <row r="266" spans="1:2">
      <c r="A266" s="5"/>
      <c r="B266" s="5"/>
    </row>
    <row r="267" spans="1:2">
      <c r="A267" s="5"/>
      <c r="B267" s="5"/>
    </row>
    <row r="268" spans="1:2">
      <c r="A268" s="5"/>
      <c r="B268" s="5"/>
    </row>
    <row r="269" spans="1:2">
      <c r="A269" s="5"/>
      <c r="B269" s="5"/>
    </row>
    <row r="270" spans="1:2">
      <c r="A270" s="5"/>
      <c r="B270" s="5"/>
    </row>
    <row r="271" spans="1:2">
      <c r="A271" s="5"/>
      <c r="B271" s="5"/>
    </row>
    <row r="272" spans="1:2">
      <c r="A272" s="5"/>
      <c r="B272" s="5"/>
    </row>
    <row r="273" spans="1:2">
      <c r="A273" s="5"/>
      <c r="B273" s="5"/>
    </row>
    <row r="274" spans="1:2">
      <c r="A274" s="5"/>
      <c r="B274" s="5"/>
    </row>
    <row r="275" spans="1:2">
      <c r="A275" s="5"/>
      <c r="B275" s="5"/>
    </row>
    <row r="276" spans="1:2">
      <c r="A276" s="5"/>
      <c r="B276" s="5"/>
    </row>
    <row r="277" spans="1:2">
      <c r="A277" s="5"/>
      <c r="B277" s="5"/>
    </row>
    <row r="278" spans="1:2">
      <c r="A278" s="5"/>
      <c r="B278" s="5"/>
    </row>
    <row r="279" spans="1:2">
      <c r="A279" s="5"/>
      <c r="B279" s="5"/>
    </row>
    <row r="280" spans="1:2">
      <c r="A280" s="5"/>
      <c r="B280" s="5"/>
    </row>
    <row r="281" spans="1:2">
      <c r="A281" s="5"/>
      <c r="B281" s="5"/>
    </row>
    <row r="282" spans="1:2">
      <c r="A282" s="5"/>
      <c r="B282" s="5"/>
    </row>
    <row r="283" spans="1:2">
      <c r="A283" s="5"/>
      <c r="B283" s="5"/>
    </row>
    <row r="284" spans="1:2">
      <c r="A284" s="5"/>
      <c r="B284" s="5"/>
    </row>
    <row r="285" spans="1:2">
      <c r="A285" s="5"/>
      <c r="B285" s="5"/>
    </row>
    <row r="286" spans="1:2">
      <c r="A286" s="5"/>
      <c r="B286" s="5"/>
    </row>
    <row r="287" spans="1:2">
      <c r="A287" s="5"/>
      <c r="B287" s="5"/>
    </row>
    <row r="288" spans="1:2">
      <c r="A288" s="5"/>
      <c r="B288" s="5"/>
    </row>
    <row r="289" spans="1:2">
      <c r="A289" s="5"/>
      <c r="B289" s="5"/>
    </row>
    <row r="290" spans="1:2">
      <c r="A290" s="5"/>
      <c r="B290" s="5"/>
    </row>
    <row r="291" spans="1:2">
      <c r="A291" s="5"/>
      <c r="B291" s="5"/>
    </row>
    <row r="292" spans="1:2">
      <c r="A292" s="5"/>
      <c r="B292" s="5"/>
    </row>
    <row r="293" spans="1:2">
      <c r="A293" s="5"/>
      <c r="B293" s="5"/>
    </row>
    <row r="294" spans="1:2">
      <c r="A294" s="5"/>
      <c r="B294" s="5"/>
    </row>
    <row r="295" spans="1:2">
      <c r="A295" s="5"/>
      <c r="B295" s="5"/>
    </row>
    <row r="296" spans="1:2">
      <c r="A296" s="5"/>
      <c r="B296" s="5"/>
    </row>
    <row r="297" spans="1:2">
      <c r="A297" s="5"/>
      <c r="B297" s="5"/>
    </row>
    <row r="298" spans="1:2">
      <c r="A298" s="5"/>
      <c r="B298" s="5"/>
    </row>
    <row r="299" spans="1:2">
      <c r="A299" s="5"/>
      <c r="B299" s="5"/>
    </row>
    <row r="300" spans="1:2">
      <c r="A300" s="5"/>
      <c r="B300" s="5"/>
    </row>
    <row r="301" spans="1:2">
      <c r="A301" s="5"/>
      <c r="B301" s="5"/>
    </row>
    <row r="302" spans="1:2">
      <c r="A302" s="5"/>
      <c r="B302" s="5"/>
    </row>
    <row r="303" spans="1:2">
      <c r="A303" s="5"/>
      <c r="B303" s="5"/>
    </row>
    <row r="304" spans="1:2">
      <c r="A304" s="5"/>
      <c r="B304" s="5"/>
    </row>
    <row r="305" spans="1:2">
      <c r="A305" s="5"/>
      <c r="B305" s="5"/>
    </row>
    <row r="306" spans="1:2">
      <c r="A306" s="5"/>
      <c r="B306" s="5"/>
    </row>
    <row r="307" spans="1:2">
      <c r="A307" s="5"/>
      <c r="B307" s="5"/>
    </row>
    <row r="308" spans="1:2">
      <c r="A308" s="5"/>
      <c r="B308" s="5"/>
    </row>
    <row r="309" spans="1:2">
      <c r="A309" s="5"/>
      <c r="B309" s="5"/>
    </row>
    <row r="310" spans="1:2">
      <c r="A310" s="5"/>
      <c r="B310" s="5"/>
    </row>
    <row r="311" spans="1:2">
      <c r="A311" s="5"/>
      <c r="B311" s="5"/>
    </row>
    <row r="312" spans="1:2">
      <c r="A312" s="5"/>
      <c r="B312" s="5"/>
    </row>
    <row r="313" spans="1:2">
      <c r="A313" s="5"/>
      <c r="B313" s="5"/>
    </row>
    <row r="314" spans="1:2">
      <c r="A314" s="5"/>
      <c r="B314" s="5"/>
    </row>
    <row r="315" spans="1:2">
      <c r="A315" s="5"/>
      <c r="B315" s="5"/>
    </row>
    <row r="316" spans="1:2">
      <c r="A316" s="5"/>
      <c r="B316" s="5"/>
    </row>
    <row r="317" spans="1:2">
      <c r="A317" s="5"/>
      <c r="B317" s="5"/>
    </row>
    <row r="318" spans="1:2">
      <c r="A318" s="5"/>
      <c r="B318" s="5"/>
    </row>
    <row r="319" spans="1:2">
      <c r="A319" s="5"/>
      <c r="B319" s="5"/>
    </row>
    <row r="320" spans="1:2">
      <c r="A320" s="5"/>
      <c r="B320" s="5"/>
    </row>
    <row r="321" spans="1:2">
      <c r="A321" s="5"/>
      <c r="B321" s="5"/>
    </row>
    <row r="322" spans="1:2">
      <c r="A322" s="5"/>
      <c r="B322" s="5"/>
    </row>
    <row r="323" spans="1:2">
      <c r="A323" s="5"/>
      <c r="B323" s="5"/>
    </row>
    <row r="324" spans="1:2">
      <c r="A324" s="5"/>
      <c r="B324" s="5"/>
    </row>
    <row r="325" spans="1:2">
      <c r="A325" s="5"/>
      <c r="B325" s="5"/>
    </row>
    <row r="326" spans="1:2">
      <c r="A326" s="5"/>
      <c r="B326" s="5"/>
    </row>
    <row r="327" spans="1:2">
      <c r="A327" s="5"/>
      <c r="B327" s="5"/>
    </row>
    <row r="328" spans="1:2">
      <c r="A328" s="5"/>
      <c r="B328" s="5"/>
    </row>
    <row r="329" spans="1:2">
      <c r="A329" s="5"/>
      <c r="B329" s="5"/>
    </row>
    <row r="330" spans="1:2">
      <c r="A330" s="5"/>
      <c r="B330" s="5"/>
    </row>
    <row r="331" spans="1:2">
      <c r="A331" s="5"/>
      <c r="B331" s="5"/>
    </row>
    <row r="332" spans="1:2">
      <c r="A332" s="5"/>
      <c r="B332" s="5"/>
    </row>
    <row r="333" spans="1:2">
      <c r="A333" s="5"/>
      <c r="B333" s="5"/>
    </row>
    <row r="334" spans="1:2">
      <c r="A334" s="5"/>
      <c r="B334" s="5"/>
    </row>
    <row r="335" spans="1:2">
      <c r="A335" s="5"/>
      <c r="B335" s="5"/>
    </row>
    <row r="336" spans="1:2">
      <c r="A336" s="5"/>
      <c r="B336" s="5"/>
    </row>
    <row r="337" spans="1:2">
      <c r="A337" s="5"/>
      <c r="B337" s="5"/>
    </row>
    <row r="338" spans="1:2">
      <c r="A338" s="5"/>
      <c r="B338" s="5"/>
    </row>
    <row r="339" spans="1:2">
      <c r="A339" s="5"/>
      <c r="B339" s="5"/>
    </row>
    <row r="340" spans="1:2">
      <c r="A340" s="5"/>
      <c r="B340" s="5"/>
    </row>
    <row r="341" spans="1:2">
      <c r="A341" s="5"/>
      <c r="B341" s="5"/>
    </row>
    <row r="342" spans="1:2">
      <c r="A342" s="5"/>
      <c r="B342" s="5"/>
    </row>
    <row r="343" spans="1:2">
      <c r="A343" s="5"/>
      <c r="B343" s="5"/>
    </row>
    <row r="344" spans="1:2">
      <c r="A344" s="5"/>
      <c r="B344" s="5"/>
    </row>
    <row r="345" spans="1:2">
      <c r="A345" s="5"/>
      <c r="B345" s="5"/>
    </row>
    <row r="346" spans="1:2">
      <c r="A346" s="5"/>
      <c r="B346" s="5"/>
    </row>
    <row r="347" spans="1:2">
      <c r="A347" s="5"/>
      <c r="B347" s="5"/>
    </row>
    <row r="348" spans="1:2">
      <c r="A348" s="5"/>
      <c r="B348" s="5"/>
    </row>
    <row r="349" spans="1:2">
      <c r="A349" s="5"/>
      <c r="B349" s="5"/>
    </row>
    <row r="350" spans="1:2">
      <c r="A350" s="5"/>
      <c r="B350" s="5"/>
    </row>
    <row r="351" spans="1:2">
      <c r="A351" s="5"/>
      <c r="B351" s="5"/>
    </row>
    <row r="352" spans="1:2">
      <c r="A352" s="5"/>
      <c r="B352" s="5"/>
    </row>
    <row r="353" spans="1:2">
      <c r="A353" s="5"/>
      <c r="B353" s="5"/>
    </row>
    <row r="354" spans="1:2">
      <c r="A354" s="5"/>
      <c r="B354" s="5"/>
    </row>
    <row r="355" spans="1:2">
      <c r="A355" s="5"/>
      <c r="B355" s="5"/>
    </row>
    <row r="356" spans="1:2">
      <c r="A356" s="5"/>
      <c r="B356" s="5"/>
    </row>
    <row r="357" spans="1:2">
      <c r="A357" s="5"/>
      <c r="B357" s="5"/>
    </row>
    <row r="358" spans="1:2">
      <c r="A358" s="5"/>
      <c r="B358" s="5"/>
    </row>
    <row r="359" spans="1:2">
      <c r="A359" s="5"/>
      <c r="B359" s="5"/>
    </row>
    <row r="360" spans="1:2">
      <c r="A360" s="5"/>
      <c r="B360" s="5"/>
    </row>
    <row r="361" spans="1:2">
      <c r="A361" s="5"/>
      <c r="B361" s="5"/>
    </row>
    <row r="362" spans="1:2">
      <c r="A362" s="5"/>
      <c r="B362" s="5"/>
    </row>
    <row r="363" spans="1:2">
      <c r="A363" s="5"/>
      <c r="B363" s="5"/>
    </row>
    <row r="364" spans="1:2">
      <c r="A364" s="5"/>
      <c r="B364" s="5"/>
    </row>
    <row r="365" spans="1:2">
      <c r="A365" s="5"/>
      <c r="B365" s="5"/>
    </row>
    <row r="366" spans="1:2">
      <c r="A366" s="5"/>
      <c r="B366" s="5"/>
    </row>
    <row r="367" spans="1:2">
      <c r="A367" s="5"/>
      <c r="B367" s="5"/>
    </row>
    <row r="368" spans="1:2">
      <c r="A368" s="5"/>
      <c r="B368" s="5"/>
    </row>
    <row r="369" spans="1:2">
      <c r="A369" s="5"/>
      <c r="B369" s="5"/>
    </row>
    <row r="370" spans="1:2">
      <c r="A370" s="5"/>
      <c r="B370" s="5"/>
    </row>
    <row r="371" spans="1:2">
      <c r="A371" s="5"/>
      <c r="B371" s="5"/>
    </row>
    <row r="372" spans="1:2">
      <c r="A372" s="5"/>
      <c r="B372" s="5"/>
    </row>
    <row r="373" spans="1:2">
      <c r="A373" s="5"/>
      <c r="B373" s="5"/>
    </row>
    <row r="374" spans="1:2">
      <c r="A374" s="5"/>
      <c r="B374" s="5"/>
    </row>
    <row r="375" spans="1:2">
      <c r="A375" s="5"/>
      <c r="B375" s="5"/>
    </row>
    <row r="376" spans="1:2">
      <c r="A376" s="5"/>
      <c r="B376" s="5"/>
    </row>
    <row r="377" spans="1:2">
      <c r="A377" s="5"/>
      <c r="B377" s="5"/>
    </row>
    <row r="378" spans="1:2">
      <c r="A378" s="5"/>
      <c r="B378" s="5"/>
    </row>
    <row r="379" spans="1:2">
      <c r="A379" s="5"/>
      <c r="B379" s="5"/>
    </row>
    <row r="380" spans="1:2">
      <c r="A380" s="5"/>
      <c r="B380" s="5"/>
    </row>
    <row r="381" spans="1:2">
      <c r="A381" s="5"/>
      <c r="B381" s="5"/>
    </row>
    <row r="382" spans="1:2">
      <c r="A382" s="5"/>
      <c r="B382" s="5"/>
    </row>
    <row r="383" spans="1:2">
      <c r="A383" s="5"/>
      <c r="B383" s="5"/>
    </row>
    <row r="384" spans="1:2">
      <c r="A384" s="5"/>
      <c r="B384" s="5"/>
    </row>
    <row r="385" spans="1:2">
      <c r="A385" s="5"/>
      <c r="B385" s="5"/>
    </row>
    <row r="386" spans="1:2">
      <c r="A386" s="5"/>
      <c r="B386" s="5"/>
    </row>
    <row r="387" spans="1:2">
      <c r="A387" s="5"/>
      <c r="B387" s="5"/>
    </row>
    <row r="388" spans="1:2">
      <c r="A388" s="5"/>
      <c r="B388" s="5"/>
    </row>
    <row r="389" spans="1:2">
      <c r="A389" s="5"/>
      <c r="B389" s="5"/>
    </row>
    <row r="390" spans="1:2">
      <c r="A390" s="5"/>
      <c r="B390" s="5"/>
    </row>
    <row r="391" spans="1:2">
      <c r="A391" s="5"/>
      <c r="B391" s="5"/>
    </row>
    <row r="392" spans="1:2">
      <c r="A392" s="5"/>
      <c r="B392" s="5"/>
    </row>
    <row r="393" spans="1:2">
      <c r="A393" s="5"/>
      <c r="B393" s="5"/>
    </row>
    <row r="394" spans="1:2">
      <c r="A394" s="5"/>
      <c r="B394" s="5"/>
    </row>
    <row r="395" spans="1:2">
      <c r="A395" s="5"/>
      <c r="B395" s="5"/>
    </row>
    <row r="396" spans="1:2">
      <c r="A396" s="5"/>
      <c r="B396" s="5"/>
    </row>
    <row r="397" spans="1:2">
      <c r="A397" s="5"/>
      <c r="B397" s="5"/>
    </row>
    <row r="398" spans="1:2">
      <c r="A398" s="5"/>
      <c r="B398" s="5"/>
    </row>
    <row r="399" spans="1:2">
      <c r="A399" s="5"/>
      <c r="B399" s="5"/>
    </row>
    <row r="400" spans="1:2">
      <c r="A400" s="5"/>
      <c r="B400" s="5"/>
    </row>
    <row r="401" spans="1:2">
      <c r="A401" s="5"/>
      <c r="B401" s="5"/>
    </row>
    <row r="402" spans="1:2">
      <c r="A402" s="5"/>
      <c r="B402" s="5"/>
    </row>
    <row r="403" spans="1:2">
      <c r="A403" s="5"/>
      <c r="B403" s="5"/>
    </row>
    <row r="404" spans="1:2">
      <c r="A404" s="5"/>
      <c r="B404" s="5"/>
    </row>
    <row r="405" spans="1:2">
      <c r="A405" s="5"/>
      <c r="B405" s="5"/>
    </row>
    <row r="406" spans="1:2">
      <c r="A406" s="5"/>
      <c r="B406" s="5"/>
    </row>
    <row r="407" spans="1:2">
      <c r="A407" s="5"/>
      <c r="B407" s="5"/>
    </row>
    <row r="408" spans="1:2">
      <c r="A408" s="5"/>
      <c r="B408" s="5"/>
    </row>
    <row r="409" spans="1:2">
      <c r="A409" s="5"/>
      <c r="B409" s="5"/>
    </row>
    <row r="410" spans="1:2">
      <c r="A410" s="5"/>
      <c r="B410" s="5"/>
    </row>
    <row r="411" spans="1:2">
      <c r="A411" s="5"/>
      <c r="B411" s="5"/>
    </row>
    <row r="412" spans="1:2">
      <c r="A412" s="5"/>
      <c r="B412" s="5"/>
    </row>
    <row r="413" spans="1:2">
      <c r="A413" s="5"/>
      <c r="B413" s="5"/>
    </row>
    <row r="414" spans="1:2">
      <c r="A414" s="5"/>
      <c r="B414" s="5"/>
    </row>
    <row r="415" spans="1:2">
      <c r="A415" s="5"/>
      <c r="B415" s="5"/>
    </row>
    <row r="416" spans="1:2">
      <c r="A416" s="5"/>
      <c r="B416" s="5"/>
    </row>
    <row r="417" spans="1:2">
      <c r="A417" s="5"/>
      <c r="B417" s="5"/>
    </row>
    <row r="418" spans="1:2">
      <c r="A418" s="5"/>
      <c r="B418" s="5"/>
    </row>
    <row r="419" spans="1:2">
      <c r="A419" s="5"/>
      <c r="B419" s="5"/>
    </row>
    <row r="420" spans="1:2">
      <c r="A420" s="5"/>
      <c r="B420" s="5"/>
    </row>
    <row r="421" spans="1:2">
      <c r="A421" s="5"/>
      <c r="B421" s="5"/>
    </row>
    <row r="422" spans="1:2">
      <c r="A422" s="5"/>
      <c r="B422" s="5"/>
    </row>
    <row r="423" spans="1:2">
      <c r="A423" s="5"/>
      <c r="B423" s="5"/>
    </row>
    <row r="424" spans="1:2">
      <c r="A424" s="5"/>
      <c r="B424" s="5"/>
    </row>
    <row r="425" spans="1:2">
      <c r="A425" s="5"/>
      <c r="B425" s="5"/>
    </row>
    <row r="426" spans="1:2">
      <c r="A426" s="5"/>
      <c r="B426" s="5"/>
    </row>
    <row r="427" spans="1:2">
      <c r="A427" s="5"/>
      <c r="B427" s="5"/>
    </row>
    <row r="428" spans="1:2">
      <c r="A428" s="5"/>
      <c r="B428" s="5"/>
    </row>
    <row r="429" spans="1:2">
      <c r="A429" s="5"/>
      <c r="B429" s="5"/>
    </row>
    <row r="430" spans="1:2">
      <c r="A430" s="5"/>
      <c r="B430" s="5"/>
    </row>
    <row r="431" spans="1:2">
      <c r="A431" s="5"/>
      <c r="B431" s="5"/>
    </row>
    <row r="432" spans="1:2">
      <c r="A432" s="5"/>
      <c r="B432" s="5"/>
    </row>
    <row r="433" spans="1:2">
      <c r="A433" s="5"/>
      <c r="B433" s="5"/>
    </row>
    <row r="434" spans="1:2">
      <c r="A434" s="5"/>
      <c r="B434" s="5"/>
    </row>
    <row r="435" spans="1:2">
      <c r="A435" s="5"/>
      <c r="B435" s="5"/>
    </row>
    <row r="436" spans="1:2">
      <c r="A436" s="5"/>
      <c r="B436" s="5"/>
    </row>
    <row r="437" spans="1:2">
      <c r="A437" s="5"/>
      <c r="B437" s="5"/>
    </row>
    <row r="438" spans="1:2">
      <c r="A438" s="5"/>
      <c r="B438" s="5"/>
    </row>
    <row r="439" spans="1:2">
      <c r="A439" s="5"/>
      <c r="B439" s="5"/>
    </row>
    <row r="440" spans="1:2">
      <c r="A440" s="5"/>
      <c r="B440" s="5"/>
    </row>
    <row r="441" spans="1:2">
      <c r="A441" s="5"/>
      <c r="B441" s="5"/>
    </row>
    <row r="442" spans="1:2">
      <c r="A442" s="5"/>
      <c r="B442" s="5"/>
    </row>
    <row r="443" spans="1:2">
      <c r="A443" s="5"/>
      <c r="B443" s="5"/>
    </row>
    <row r="444" spans="1:2">
      <c r="A444" s="5"/>
      <c r="B444" s="5"/>
    </row>
    <row r="445" spans="1:2">
      <c r="A445" s="5"/>
      <c r="B445" s="5"/>
    </row>
    <row r="446" spans="1:2">
      <c r="A446" s="5"/>
      <c r="B446" s="5"/>
    </row>
    <row r="447" spans="1:2">
      <c r="A447" s="5"/>
      <c r="B447" s="5"/>
    </row>
    <row r="448" spans="1:2">
      <c r="A448" s="5"/>
      <c r="B448" s="5"/>
    </row>
    <row r="449" spans="1:2">
      <c r="A449" s="5"/>
      <c r="B449" s="5"/>
    </row>
    <row r="450" spans="1:2">
      <c r="A450" s="5"/>
      <c r="B450" s="5"/>
    </row>
    <row r="451" spans="1:2">
      <c r="A451" s="5"/>
      <c r="B451" s="5"/>
    </row>
    <row r="452" spans="1:2">
      <c r="A452" s="5"/>
      <c r="B452" s="5"/>
    </row>
    <row r="453" spans="1:2">
      <c r="A453" s="5"/>
      <c r="B453" s="5"/>
    </row>
    <row r="454" spans="1:2">
      <c r="A454" s="5"/>
      <c r="B454" s="5"/>
    </row>
    <row r="455" spans="1:2">
      <c r="A455" s="5"/>
      <c r="B455" s="5"/>
    </row>
    <row r="456" spans="1:2">
      <c r="A456" s="5"/>
      <c r="B456" s="5"/>
    </row>
    <row r="457" spans="1:2">
      <c r="A457" s="5"/>
      <c r="B457" s="5"/>
    </row>
    <row r="458" spans="1:2">
      <c r="A458" s="5"/>
      <c r="B458" s="5"/>
    </row>
    <row r="459" spans="1:2">
      <c r="A459" s="5"/>
      <c r="B459" s="5"/>
    </row>
    <row r="460" spans="1:2">
      <c r="A460" s="5"/>
      <c r="B460" s="5"/>
    </row>
    <row r="461" spans="1:2">
      <c r="A461" s="5"/>
      <c r="B461" s="5"/>
    </row>
    <row r="462" spans="1:2">
      <c r="A462" s="5"/>
      <c r="B462" s="5"/>
    </row>
    <row r="463" spans="1:2">
      <c r="A463" s="5"/>
      <c r="B463" s="5"/>
    </row>
    <row r="464" spans="1:2">
      <c r="A464" s="5"/>
      <c r="B464" s="5"/>
    </row>
    <row r="465" spans="1:2">
      <c r="A465" s="5"/>
      <c r="B465" s="5"/>
    </row>
    <row r="466" spans="1:2">
      <c r="A466" s="5"/>
      <c r="B466" s="5"/>
    </row>
    <row r="467" spans="1:2">
      <c r="A467" s="5"/>
      <c r="B467" s="5"/>
    </row>
    <row r="468" spans="1:2">
      <c r="A468" s="5"/>
      <c r="B468" s="5"/>
    </row>
    <row r="469" spans="1:2">
      <c r="A469" s="5"/>
      <c r="B469" s="5"/>
    </row>
    <row r="470" spans="1:2">
      <c r="A470" s="5"/>
      <c r="B470" s="5"/>
    </row>
    <row r="471" spans="1:2">
      <c r="A471" s="5"/>
      <c r="B471" s="5"/>
    </row>
    <row r="472" spans="1:2">
      <c r="A472" s="5"/>
      <c r="B472" s="5"/>
    </row>
    <row r="473" spans="1:2">
      <c r="A473" s="5"/>
      <c r="B473" s="5"/>
    </row>
    <row r="474" spans="1:2">
      <c r="A474" s="5"/>
      <c r="B474" s="5"/>
    </row>
    <row r="475" spans="1:2">
      <c r="A475" s="5"/>
      <c r="B475" s="5"/>
    </row>
    <row r="476" spans="1:2">
      <c r="A476" s="5"/>
      <c r="B476" s="5"/>
    </row>
    <row r="477" spans="1:2">
      <c r="A477" s="5"/>
      <c r="B477" s="5"/>
    </row>
    <row r="478" spans="1:2">
      <c r="A478" s="5"/>
      <c r="B478" s="5"/>
    </row>
    <row r="479" spans="1:2">
      <c r="A479" s="5"/>
      <c r="B479" s="5"/>
    </row>
    <row r="480" spans="1:2">
      <c r="A480" s="5"/>
      <c r="B480" s="5"/>
    </row>
    <row r="481" spans="1:2">
      <c r="A481" s="5"/>
      <c r="B481" s="5"/>
    </row>
    <row r="482" spans="1:2">
      <c r="A482" s="5"/>
      <c r="B482" s="5"/>
    </row>
    <row r="483" spans="1:2">
      <c r="A483" s="5"/>
      <c r="B483" s="5"/>
    </row>
    <row r="484" spans="1:2">
      <c r="A484" s="5"/>
      <c r="B484" s="5"/>
    </row>
    <row r="485" spans="1:2">
      <c r="A485" s="5"/>
      <c r="B485" s="5"/>
    </row>
    <row r="486" spans="1:2">
      <c r="A486" s="5"/>
      <c r="B486" s="5"/>
    </row>
    <row r="487" spans="1:2">
      <c r="A487" s="5"/>
      <c r="B487" s="5"/>
    </row>
    <row r="488" spans="1:2">
      <c r="A488" s="5"/>
      <c r="B488" s="5"/>
    </row>
    <row r="489" spans="1:2">
      <c r="A489" s="5"/>
      <c r="B489" s="5"/>
    </row>
    <row r="490" spans="1:2">
      <c r="A490" s="5"/>
      <c r="B490" s="5"/>
    </row>
    <row r="491" spans="1:2">
      <c r="A491" s="5"/>
      <c r="B491" s="5"/>
    </row>
    <row r="492" spans="1:2">
      <c r="A492" s="5"/>
      <c r="B492" s="5"/>
    </row>
    <row r="493" spans="1:2">
      <c r="A493" s="5"/>
      <c r="B493" s="5"/>
    </row>
    <row r="494" spans="1:2">
      <c r="A494" s="5"/>
      <c r="B494" s="5"/>
    </row>
    <row r="495" spans="1:2">
      <c r="A495" s="5"/>
      <c r="B495" s="5"/>
    </row>
    <row r="496" spans="1:2">
      <c r="A496" s="5"/>
      <c r="B496" s="5"/>
    </row>
    <row r="497" spans="1:2">
      <c r="A497" s="5"/>
      <c r="B497" s="5"/>
    </row>
    <row r="498" spans="1:2">
      <c r="A498" s="5"/>
      <c r="B498" s="5"/>
    </row>
    <row r="499" spans="1:2">
      <c r="A499" s="5"/>
      <c r="B499" s="5"/>
    </row>
    <row r="500" spans="1:2">
      <c r="A500" s="5"/>
      <c r="B500" s="5"/>
    </row>
    <row r="501" spans="1:2">
      <c r="A501" s="5"/>
      <c r="B501" s="5"/>
    </row>
    <row r="502" spans="1:2">
      <c r="A502" s="5"/>
      <c r="B502" s="5"/>
    </row>
    <row r="503" spans="1:2">
      <c r="A503" s="5"/>
      <c r="B503" s="5"/>
    </row>
    <row r="504" spans="1:2">
      <c r="A504" s="5"/>
      <c r="B504" s="5"/>
    </row>
    <row r="505" spans="1:2">
      <c r="A505" s="5"/>
      <c r="B505" s="5"/>
    </row>
    <row r="506" spans="1:2">
      <c r="A506" s="5"/>
      <c r="B506" s="5"/>
    </row>
    <row r="507" spans="1:2">
      <c r="A507" s="5"/>
      <c r="B507" s="5"/>
    </row>
    <row r="508" spans="1:2">
      <c r="A508" s="5"/>
      <c r="B508" s="5"/>
    </row>
    <row r="509" spans="1:2">
      <c r="A509" s="5"/>
      <c r="B509" s="5"/>
    </row>
    <row r="510" spans="1:2">
      <c r="A510" s="5"/>
      <c r="B510" s="5"/>
    </row>
    <row r="511" spans="1:2">
      <c r="A511" s="5"/>
      <c r="B511" s="5"/>
    </row>
    <row r="512" spans="1:2">
      <c r="A512" s="5"/>
      <c r="B512" s="5"/>
    </row>
    <row r="513" spans="1:2">
      <c r="A513" s="5"/>
      <c r="B513" s="5"/>
    </row>
    <row r="514" spans="1:2">
      <c r="A514" s="5"/>
      <c r="B514" s="5"/>
    </row>
    <row r="515" spans="1:2">
      <c r="A515" s="5"/>
      <c r="B515" s="5"/>
    </row>
    <row r="516" spans="1:2">
      <c r="A516" s="5"/>
      <c r="B516" s="5"/>
    </row>
    <row r="517" spans="1:2">
      <c r="A517" s="5"/>
      <c r="B517" s="5"/>
    </row>
    <row r="518" spans="1:2">
      <c r="A518" s="5"/>
      <c r="B518" s="5"/>
    </row>
    <row r="519" spans="1:2">
      <c r="A519" s="5"/>
      <c r="B519" s="5"/>
    </row>
    <row r="520" spans="1:2">
      <c r="A520" s="5"/>
      <c r="B520" s="5"/>
    </row>
    <row r="521" spans="1:2">
      <c r="A521" s="5"/>
      <c r="B521" s="5"/>
    </row>
    <row r="522" spans="1:2">
      <c r="A522" s="5"/>
      <c r="B522" s="5"/>
    </row>
    <row r="523" spans="1:2">
      <c r="A523" s="5"/>
      <c r="B523" s="5"/>
    </row>
    <row r="524" spans="1:2">
      <c r="A524" s="5"/>
      <c r="B524" s="5"/>
    </row>
    <row r="525" spans="1:2">
      <c r="A525" s="5"/>
      <c r="B525" s="5"/>
    </row>
    <row r="526" spans="1:2">
      <c r="A526" s="5"/>
      <c r="B526" s="5"/>
    </row>
    <row r="527" spans="1:2">
      <c r="A527" s="5"/>
      <c r="B527" s="5"/>
    </row>
    <row r="528" spans="1:2">
      <c r="A528" s="5"/>
      <c r="B528" s="5"/>
    </row>
    <row r="529" spans="1:2">
      <c r="A529" s="5"/>
      <c r="B529" s="5"/>
    </row>
    <row r="530" spans="1:2">
      <c r="A530" s="5"/>
      <c r="B530" s="5"/>
    </row>
    <row r="531" spans="1:2">
      <c r="A531" s="5"/>
      <c r="B531" s="5"/>
    </row>
    <row r="532" spans="1:2">
      <c r="A532" s="5"/>
      <c r="B532" s="5"/>
    </row>
    <row r="533" spans="1:2">
      <c r="A533" s="5"/>
      <c r="B533" s="5"/>
    </row>
    <row r="534" spans="1:2">
      <c r="A534" s="5"/>
      <c r="B534" s="5"/>
    </row>
    <row r="535" spans="1:2">
      <c r="A535" s="5"/>
      <c r="B535" s="5"/>
    </row>
    <row r="536" spans="1:2">
      <c r="A536" s="5"/>
      <c r="B536" s="5"/>
    </row>
    <row r="537" spans="1:2">
      <c r="A537" s="5"/>
      <c r="B537" s="5"/>
    </row>
    <row r="538" spans="1:2">
      <c r="A538" s="5"/>
      <c r="B538" s="5"/>
    </row>
    <row r="539" spans="1:2">
      <c r="A539" s="5"/>
      <c r="B539" s="5"/>
    </row>
    <row r="540" spans="1:2">
      <c r="A540" s="5"/>
      <c r="B540" s="5"/>
    </row>
    <row r="541" spans="1:2">
      <c r="A541" s="5"/>
      <c r="B541" s="5"/>
    </row>
    <row r="542" spans="1:2">
      <c r="A542" s="5"/>
      <c r="B542" s="5"/>
    </row>
    <row r="543" spans="1:2">
      <c r="A543" s="5"/>
      <c r="B543" s="5"/>
    </row>
    <row r="544" spans="1:2">
      <c r="A544" s="5"/>
      <c r="B544" s="5"/>
    </row>
    <row r="545" spans="1:2">
      <c r="A545" s="5"/>
      <c r="B545" s="5"/>
    </row>
    <row r="546" spans="1:2">
      <c r="A546" s="5"/>
      <c r="B546" s="5"/>
    </row>
    <row r="547" spans="1:2">
      <c r="A547" s="5"/>
      <c r="B547" s="5"/>
    </row>
    <row r="548" spans="1:2">
      <c r="A548" s="5"/>
      <c r="B548" s="5"/>
    </row>
    <row r="549" spans="1:2">
      <c r="A549" s="5"/>
      <c r="B549" s="5"/>
    </row>
    <row r="550" spans="1:2">
      <c r="A550" s="5"/>
      <c r="B550" s="5"/>
    </row>
    <row r="551" spans="1:2">
      <c r="A551" s="5"/>
      <c r="B551" s="5"/>
    </row>
    <row r="552" spans="1:2">
      <c r="A552" s="5"/>
      <c r="B552" s="5"/>
    </row>
    <row r="553" spans="1:2">
      <c r="A553" s="5"/>
      <c r="B553" s="5"/>
    </row>
    <row r="554" spans="1:2">
      <c r="A554" s="5"/>
      <c r="B554" s="5"/>
    </row>
    <row r="555" spans="1:2">
      <c r="A555" s="5"/>
      <c r="B555" s="5"/>
    </row>
    <row r="556" spans="1:2">
      <c r="A556" s="5"/>
      <c r="B556" s="5"/>
    </row>
    <row r="557" spans="1:2">
      <c r="A557" s="5"/>
      <c r="B557" s="5"/>
    </row>
    <row r="558" spans="1:2">
      <c r="A558" s="5"/>
      <c r="B558" s="5"/>
    </row>
    <row r="559" spans="1:2">
      <c r="A559" s="5"/>
      <c r="B559" s="5"/>
    </row>
    <row r="560" spans="1:2">
      <c r="A560" s="5"/>
      <c r="B560" s="5"/>
    </row>
    <row r="561" spans="1:2">
      <c r="A561" s="5"/>
      <c r="B561" s="5"/>
    </row>
    <row r="562" spans="1:2">
      <c r="A562" s="5"/>
      <c r="B562" s="5"/>
    </row>
    <row r="563" spans="1:2">
      <c r="A563" s="5"/>
      <c r="B563" s="5"/>
    </row>
    <row r="564" spans="1:2">
      <c r="A564" s="5"/>
      <c r="B564" s="5"/>
    </row>
    <row r="565" spans="1:2">
      <c r="A565" s="5"/>
      <c r="B565" s="5"/>
    </row>
    <row r="566" spans="1:2">
      <c r="A566" s="5"/>
      <c r="B566" s="5"/>
    </row>
    <row r="567" spans="1:2">
      <c r="A567" s="5"/>
      <c r="B567" s="5"/>
    </row>
    <row r="568" spans="1:2">
      <c r="A568" s="5"/>
      <c r="B568" s="5"/>
    </row>
    <row r="569" spans="1:2">
      <c r="A569" s="5"/>
      <c r="B569" s="5"/>
    </row>
    <row r="570" spans="1:2">
      <c r="A570" s="5"/>
      <c r="B570" s="5"/>
    </row>
    <row r="571" spans="1:2">
      <c r="A571" s="5"/>
      <c r="B571" s="5"/>
    </row>
    <row r="572" spans="1:2">
      <c r="A572" s="5"/>
      <c r="B572" s="5"/>
    </row>
    <row r="573" spans="1:2">
      <c r="A573" s="5"/>
      <c r="B573" s="5"/>
    </row>
    <row r="574" spans="1:2">
      <c r="A574" s="5"/>
      <c r="B574" s="5"/>
    </row>
    <row r="575" spans="1:2">
      <c r="A575" s="5"/>
      <c r="B575" s="5"/>
    </row>
    <row r="576" spans="1:2">
      <c r="A576" s="5"/>
      <c r="B576" s="5"/>
    </row>
    <row r="577" spans="1:2">
      <c r="A577" s="5"/>
      <c r="B577" s="5"/>
    </row>
    <row r="578" spans="1:2">
      <c r="A578" s="5"/>
      <c r="B578" s="5"/>
    </row>
    <row r="579" spans="1:2">
      <c r="A579" s="5"/>
      <c r="B579" s="5"/>
    </row>
    <row r="580" spans="1:2">
      <c r="A580" s="5"/>
      <c r="B580" s="5"/>
    </row>
    <row r="581" spans="1:2">
      <c r="A581" s="5"/>
      <c r="B581" s="5"/>
    </row>
    <row r="582" spans="1:2">
      <c r="A582" s="5"/>
      <c r="B582" s="5"/>
    </row>
    <row r="583" spans="1:2">
      <c r="A583" s="5"/>
      <c r="B583" s="5"/>
    </row>
    <row r="584" spans="1:2">
      <c r="A584" s="5"/>
      <c r="B584" s="5"/>
    </row>
    <row r="585" spans="1:2">
      <c r="A585" s="5"/>
      <c r="B585" s="5"/>
    </row>
    <row r="586" spans="1:2">
      <c r="A586" s="5"/>
      <c r="B586" s="5"/>
    </row>
    <row r="587" spans="1:2">
      <c r="A587" s="5"/>
      <c r="B587" s="5"/>
    </row>
    <row r="588" spans="1:2">
      <c r="A588" s="5"/>
      <c r="B588" s="5"/>
    </row>
    <row r="589" spans="1:2">
      <c r="A589" s="5"/>
      <c r="B589" s="5"/>
    </row>
    <row r="590" spans="1:2">
      <c r="A590" s="5"/>
      <c r="B590" s="5"/>
    </row>
    <row r="591" spans="1:2">
      <c r="A591" s="5"/>
      <c r="B591" s="5"/>
    </row>
    <row r="592" spans="1:2">
      <c r="A592" s="5"/>
      <c r="B592" s="5"/>
    </row>
    <row r="593" spans="1:2">
      <c r="A593" s="5"/>
      <c r="B593" s="5"/>
    </row>
    <row r="594" spans="1:2">
      <c r="A594" s="5"/>
      <c r="B594" s="5"/>
    </row>
    <row r="595" spans="1:2">
      <c r="A595" s="5"/>
      <c r="B595" s="5"/>
    </row>
    <row r="596" spans="1:2">
      <c r="A596" s="5"/>
      <c r="B596" s="5"/>
    </row>
    <row r="597" spans="1:2">
      <c r="A597" s="5"/>
      <c r="B597" s="5"/>
    </row>
    <row r="598" spans="1:2">
      <c r="A598" s="5"/>
      <c r="B598" s="5"/>
    </row>
    <row r="599" spans="1:2">
      <c r="A599" s="5"/>
      <c r="B599" s="5"/>
    </row>
    <row r="600" spans="1:2">
      <c r="A600" s="5"/>
      <c r="B600" s="5"/>
    </row>
    <row r="601" spans="1:2">
      <c r="A601" s="5"/>
      <c r="B601" s="5"/>
    </row>
    <row r="602" spans="1:2">
      <c r="A602" s="5"/>
      <c r="B602" s="5"/>
    </row>
    <row r="603" spans="1:2">
      <c r="A603" s="5"/>
      <c r="B603" s="5"/>
    </row>
    <row r="604" spans="1:2">
      <c r="A604" s="5"/>
      <c r="B604" s="5"/>
    </row>
    <row r="605" spans="1:2">
      <c r="A605" s="5"/>
      <c r="B605" s="5"/>
    </row>
    <row r="606" spans="1:2">
      <c r="A606" s="5"/>
      <c r="B606" s="5"/>
    </row>
    <row r="607" spans="1:2">
      <c r="A607" s="5"/>
      <c r="B607" s="5"/>
    </row>
    <row r="608" spans="1:2">
      <c r="A608" s="5"/>
      <c r="B608" s="5"/>
    </row>
    <row r="609" spans="1:2">
      <c r="A609" s="5"/>
      <c r="B609" s="5"/>
    </row>
    <row r="610" spans="1:2">
      <c r="A610" s="5"/>
      <c r="B610" s="5"/>
    </row>
    <row r="611" spans="1:2">
      <c r="A611" s="5"/>
      <c r="B611" s="5"/>
    </row>
    <row r="612" spans="1:2">
      <c r="A612" s="5"/>
      <c r="B612" s="5"/>
    </row>
    <row r="613" spans="1:2">
      <c r="A613" s="5"/>
      <c r="B613" s="5"/>
    </row>
    <row r="614" spans="1:2">
      <c r="A614" s="5"/>
      <c r="B614" s="5"/>
    </row>
    <row r="615" spans="1:2">
      <c r="A615" s="5"/>
      <c r="B615" s="5"/>
    </row>
    <row r="616" spans="1:2">
      <c r="A616" s="5"/>
      <c r="B616" s="5"/>
    </row>
    <row r="617" spans="1:2">
      <c r="A617" s="5"/>
      <c r="B617" s="5"/>
    </row>
    <row r="618" spans="1:2">
      <c r="A618" s="5"/>
      <c r="B618" s="5"/>
    </row>
    <row r="619" spans="1:2">
      <c r="A619" s="5"/>
      <c r="B619" s="5"/>
    </row>
    <row r="620" spans="1:2">
      <c r="A620" s="5"/>
      <c r="B620" s="5"/>
    </row>
    <row r="621" spans="1:2">
      <c r="A621" s="5"/>
      <c r="B621" s="5"/>
    </row>
    <row r="622" spans="1:2">
      <c r="A622" s="5"/>
      <c r="B622" s="5"/>
    </row>
    <row r="623" spans="1:2">
      <c r="A623" s="5"/>
      <c r="B623" s="5"/>
    </row>
    <row r="624" spans="1:2">
      <c r="A624" s="5"/>
      <c r="B624" s="5"/>
    </row>
    <row r="625" spans="1:2">
      <c r="A625" s="5"/>
      <c r="B625" s="5"/>
    </row>
    <row r="626" spans="1:2">
      <c r="A626" s="5"/>
      <c r="B626" s="5"/>
    </row>
    <row r="627" spans="1:2">
      <c r="A627" s="5"/>
      <c r="B627" s="5"/>
    </row>
    <row r="628" spans="1:2">
      <c r="A628" s="5"/>
      <c r="B628" s="5"/>
    </row>
    <row r="629" spans="1:2">
      <c r="A629" s="5"/>
      <c r="B629" s="5"/>
    </row>
    <row r="630" spans="1:2">
      <c r="A630" s="5"/>
      <c r="B630" s="5"/>
    </row>
    <row r="631" spans="1:2">
      <c r="A631" s="5"/>
      <c r="B631" s="5"/>
    </row>
    <row r="632" spans="1:2">
      <c r="A632" s="5"/>
      <c r="B632" s="5"/>
    </row>
    <row r="633" spans="1:2">
      <c r="A633" s="5"/>
      <c r="B633" s="5"/>
    </row>
    <row r="634" spans="1:2">
      <c r="A634" s="5"/>
      <c r="B634" s="5"/>
    </row>
    <row r="635" spans="1:2">
      <c r="A635" s="5"/>
      <c r="B635" s="5"/>
    </row>
    <row r="636" spans="1:2">
      <c r="A636" s="5"/>
      <c r="B636" s="5"/>
    </row>
    <row r="637" spans="1:2">
      <c r="A637" s="5"/>
      <c r="B637" s="5"/>
    </row>
    <row r="638" spans="1:2">
      <c r="A638" s="5"/>
      <c r="B638" s="5"/>
    </row>
    <row r="639" spans="1:2">
      <c r="A639" s="5"/>
      <c r="B639" s="5"/>
    </row>
    <row r="640" spans="1:2">
      <c r="A640" s="5"/>
      <c r="B640" s="5"/>
    </row>
    <row r="641" spans="1:2">
      <c r="A641" s="5"/>
      <c r="B641" s="5"/>
    </row>
    <row r="642" spans="1:2">
      <c r="A642" s="5"/>
      <c r="B642" s="5"/>
    </row>
    <row r="643" spans="1:2">
      <c r="A643" s="5"/>
      <c r="B643" s="5"/>
    </row>
    <row r="644" spans="1:2">
      <c r="A644" s="5"/>
      <c r="B644" s="5"/>
    </row>
    <row r="645" spans="1:2">
      <c r="A645" s="5"/>
      <c r="B645" s="5"/>
    </row>
    <row r="646" spans="1:2">
      <c r="A646" s="5"/>
      <c r="B646" s="5"/>
    </row>
    <row r="647" spans="1:2">
      <c r="A647" s="5"/>
      <c r="B647" s="5"/>
    </row>
    <row r="648" spans="1:2">
      <c r="A648" s="5"/>
      <c r="B648" s="5"/>
    </row>
    <row r="649" spans="1:2">
      <c r="A649" s="5"/>
      <c r="B649" s="5"/>
    </row>
    <row r="650" spans="1:2">
      <c r="A650" s="5"/>
      <c r="B650" s="5"/>
    </row>
    <row r="651" spans="1:2">
      <c r="A651" s="5"/>
      <c r="B651" s="5"/>
    </row>
    <row r="652" spans="1:2">
      <c r="A652" s="5"/>
      <c r="B652" s="5"/>
    </row>
    <row r="653" spans="1:2">
      <c r="A653" s="5"/>
      <c r="B653" s="5"/>
    </row>
    <row r="654" spans="1:2">
      <c r="A654" s="5"/>
      <c r="B654" s="5"/>
    </row>
    <row r="655" spans="1:2">
      <c r="A655" s="5"/>
      <c r="B655" s="5"/>
    </row>
    <row r="656" spans="1:2">
      <c r="A656" s="5"/>
      <c r="B656" s="5"/>
    </row>
    <row r="657" spans="1:2">
      <c r="A657" s="5"/>
      <c r="B657" s="5"/>
    </row>
    <row r="658" spans="1:2">
      <c r="A658" s="5"/>
      <c r="B658" s="5"/>
    </row>
    <row r="659" spans="1:2">
      <c r="A659" s="5"/>
      <c r="B659" s="5"/>
    </row>
    <row r="660" spans="1:2">
      <c r="A660" s="5"/>
      <c r="B660" s="5"/>
    </row>
    <row r="661" spans="1:2">
      <c r="A661" s="5"/>
      <c r="B661" s="5"/>
    </row>
    <row r="662" spans="1:2">
      <c r="A662" s="5"/>
      <c r="B662" s="5"/>
    </row>
    <row r="663" spans="1:2">
      <c r="A663" s="5"/>
      <c r="B663" s="5"/>
    </row>
    <row r="664" spans="1:2">
      <c r="A664" s="5"/>
      <c r="B664" s="5"/>
    </row>
    <row r="665" spans="1:2">
      <c r="A665" s="5"/>
      <c r="B665" s="5"/>
    </row>
    <row r="666" spans="1:2">
      <c r="A666" s="5"/>
      <c r="B666" s="5"/>
    </row>
    <row r="667" spans="1:2">
      <c r="A667" s="5"/>
      <c r="B667" s="5"/>
    </row>
    <row r="668" spans="1:2">
      <c r="A668" s="5"/>
      <c r="B668" s="5"/>
    </row>
    <row r="669" spans="1:2">
      <c r="A669" s="5"/>
      <c r="B669" s="5"/>
    </row>
    <row r="670" spans="1:2">
      <c r="A670" s="5"/>
      <c r="B670" s="5"/>
    </row>
    <row r="671" spans="1:2">
      <c r="A671" s="5"/>
      <c r="B671" s="5"/>
    </row>
    <row r="672" spans="1:2">
      <c r="A672" s="5"/>
      <c r="B672" s="5"/>
    </row>
    <row r="673" spans="1:2">
      <c r="A673" s="5"/>
      <c r="B673" s="5"/>
    </row>
    <row r="674" spans="1:2">
      <c r="A674" s="5"/>
      <c r="B674" s="5"/>
    </row>
    <row r="675" spans="1:2">
      <c r="A675" s="5"/>
      <c r="B675" s="5"/>
    </row>
    <row r="676" spans="1:2">
      <c r="A676" s="5"/>
      <c r="B676" s="5"/>
    </row>
    <row r="677" spans="1:2">
      <c r="A677" s="5"/>
      <c r="B677" s="5"/>
    </row>
    <row r="678" spans="1:2">
      <c r="A678" s="5"/>
      <c r="B678" s="5"/>
    </row>
    <row r="679" spans="1:2">
      <c r="A679" s="5"/>
      <c r="B679" s="5"/>
    </row>
    <row r="680" spans="1:2">
      <c r="A680" s="5"/>
      <c r="B680" s="5"/>
    </row>
    <row r="681" spans="1:2">
      <c r="A681" s="5"/>
      <c r="B681" s="5"/>
    </row>
    <row r="682" spans="1:2">
      <c r="A682" s="5"/>
      <c r="B682" s="5"/>
    </row>
    <row r="683" spans="1:2">
      <c r="A683" s="5"/>
      <c r="B683" s="5"/>
    </row>
    <row r="684" spans="1:2">
      <c r="A684" s="5"/>
      <c r="B684" s="5"/>
    </row>
    <row r="685" spans="1:2">
      <c r="A685" s="5"/>
      <c r="B685" s="5"/>
    </row>
    <row r="686" spans="1:2">
      <c r="A686" s="5"/>
      <c r="B686" s="5"/>
    </row>
    <row r="687" spans="1:2">
      <c r="A687" s="5"/>
      <c r="B687" s="5"/>
    </row>
    <row r="688" spans="1:2">
      <c r="A688" s="5"/>
      <c r="B688" s="5"/>
    </row>
    <row r="689" spans="1:2">
      <c r="A689" s="5"/>
      <c r="B689" s="5"/>
    </row>
    <row r="690" spans="1:2">
      <c r="A690" s="5"/>
      <c r="B690" s="5"/>
    </row>
    <row r="691" spans="1:2">
      <c r="A691" s="5"/>
      <c r="B691" s="5"/>
    </row>
    <row r="692" spans="1:2">
      <c r="A692" s="5"/>
      <c r="B692" s="5"/>
    </row>
    <row r="693" spans="1:2">
      <c r="A693" s="5"/>
      <c r="B693" s="5"/>
    </row>
    <row r="694" spans="1:2">
      <c r="A694" s="5"/>
      <c r="B694" s="5"/>
    </row>
    <row r="695" spans="1:2">
      <c r="A695" s="5"/>
      <c r="B695" s="5"/>
    </row>
    <row r="696" spans="1:2">
      <c r="A696" s="5"/>
      <c r="B696" s="5"/>
    </row>
    <row r="697" spans="1:2">
      <c r="A697" s="5"/>
      <c r="B697" s="5"/>
    </row>
    <row r="698" spans="1:2">
      <c r="A698" s="5"/>
      <c r="B698" s="5"/>
    </row>
    <row r="699" spans="1:2">
      <c r="A699" s="5"/>
      <c r="B699" s="5"/>
    </row>
    <row r="700" spans="1:2">
      <c r="A700" s="5"/>
      <c r="B700" s="5"/>
    </row>
    <row r="701" spans="1:2">
      <c r="A701" s="5"/>
      <c r="B701" s="5"/>
    </row>
    <row r="702" spans="1:2">
      <c r="A702" s="5"/>
      <c r="B702" s="5"/>
    </row>
    <row r="703" spans="1:2">
      <c r="A703" s="5"/>
      <c r="B703" s="5"/>
    </row>
    <row r="704" spans="1:2">
      <c r="A704" s="5"/>
      <c r="B704" s="5"/>
    </row>
    <row r="705" spans="1:2">
      <c r="A705" s="5"/>
      <c r="B705" s="5"/>
    </row>
    <row r="706" spans="1:2">
      <c r="A706" s="5"/>
      <c r="B706" s="5"/>
    </row>
    <row r="707" spans="1:2">
      <c r="A707" s="5"/>
      <c r="B707" s="5"/>
    </row>
    <row r="708" spans="1:2">
      <c r="A708" s="5"/>
      <c r="B708" s="5"/>
    </row>
    <row r="709" spans="1:2">
      <c r="A709" s="5"/>
      <c r="B709" s="5"/>
    </row>
    <row r="710" spans="1:2">
      <c r="A710" s="5"/>
      <c r="B710" s="5"/>
    </row>
    <row r="711" spans="1:2">
      <c r="A711" s="5"/>
      <c r="B711" s="5"/>
    </row>
    <row r="712" spans="1:2">
      <c r="A712" s="5"/>
      <c r="B712" s="5"/>
    </row>
    <row r="713" spans="1:2">
      <c r="A713" s="5"/>
      <c r="B713" s="5"/>
    </row>
    <row r="714" spans="1:2">
      <c r="A714" s="5"/>
      <c r="B714" s="5"/>
    </row>
    <row r="715" spans="1:2">
      <c r="A715" s="5"/>
      <c r="B715" s="5"/>
    </row>
    <row r="716" spans="1:2">
      <c r="A716" s="5"/>
      <c r="B716" s="5"/>
    </row>
    <row r="717" spans="1:2">
      <c r="A717" s="5"/>
      <c r="B717" s="5"/>
    </row>
    <row r="718" spans="1:2">
      <c r="A718" s="5"/>
      <c r="B718" s="5"/>
    </row>
    <row r="719" spans="1:2">
      <c r="A719" s="5"/>
      <c r="B719" s="5"/>
    </row>
    <row r="720" spans="1:2">
      <c r="A720" s="5"/>
      <c r="B720" s="5"/>
    </row>
    <row r="721" spans="1:2">
      <c r="A721" s="5"/>
      <c r="B721" s="5"/>
    </row>
    <row r="722" spans="1:2">
      <c r="A722" s="5"/>
      <c r="B722" s="5"/>
    </row>
    <row r="723" spans="1:2">
      <c r="A723" s="5"/>
      <c r="B723" s="5"/>
    </row>
    <row r="724" spans="1:2">
      <c r="A724" s="5"/>
      <c r="B724" s="5"/>
    </row>
    <row r="725" spans="1:2">
      <c r="A725" s="5"/>
      <c r="B725" s="5"/>
    </row>
    <row r="726" spans="1:2">
      <c r="A726" s="5"/>
      <c r="B726" s="5"/>
    </row>
    <row r="727" spans="1:2">
      <c r="A727" s="5"/>
      <c r="B727" s="5"/>
    </row>
    <row r="728" spans="1:2">
      <c r="A728" s="5"/>
      <c r="B728" s="5"/>
    </row>
    <row r="729" spans="1:2">
      <c r="A729" s="5"/>
      <c r="B729" s="5"/>
    </row>
    <row r="730" spans="1:2">
      <c r="A730" s="5"/>
      <c r="B730" s="5"/>
    </row>
    <row r="731" spans="1:2">
      <c r="A731" s="5"/>
      <c r="B731" s="5"/>
    </row>
    <row r="732" spans="1:2">
      <c r="A732" s="5"/>
      <c r="B732" s="5"/>
    </row>
    <row r="733" spans="1:2">
      <c r="A733" s="5"/>
      <c r="B733" s="5"/>
    </row>
    <row r="734" spans="1:2">
      <c r="A734" s="5"/>
      <c r="B734" s="5"/>
    </row>
    <row r="735" spans="1:2">
      <c r="A735" s="5"/>
      <c r="B735" s="5"/>
    </row>
    <row r="736" spans="1:2">
      <c r="A736" s="5"/>
      <c r="B736" s="5"/>
    </row>
    <row r="737" spans="1:2">
      <c r="A737" s="5"/>
      <c r="B737" s="5"/>
    </row>
    <row r="738" spans="1:2">
      <c r="A738" s="5"/>
      <c r="B738" s="5"/>
    </row>
    <row r="739" spans="1:2">
      <c r="A739" s="5"/>
      <c r="B739" s="5"/>
    </row>
    <row r="740" spans="1:2">
      <c r="A740" s="5"/>
      <c r="B740" s="5"/>
    </row>
    <row r="741" spans="1:2">
      <c r="A741" s="5"/>
      <c r="B741" s="5"/>
    </row>
    <row r="742" spans="1:2">
      <c r="A742" s="5"/>
      <c r="B742" s="5"/>
    </row>
    <row r="743" spans="1:2">
      <c r="A743" s="5"/>
      <c r="B743" s="5"/>
    </row>
    <row r="744" spans="1:2">
      <c r="A744" s="5"/>
      <c r="B744" s="5"/>
    </row>
    <row r="745" spans="1:2">
      <c r="A745" s="5"/>
      <c r="B745" s="5"/>
    </row>
    <row r="746" spans="1:2">
      <c r="A746" s="5"/>
      <c r="B746" s="5"/>
    </row>
    <row r="747" spans="1:2">
      <c r="A747" s="5"/>
      <c r="B747" s="5"/>
    </row>
    <row r="748" spans="1:2">
      <c r="A748" s="5"/>
      <c r="B748" s="5"/>
    </row>
    <row r="749" spans="1:2">
      <c r="A749" s="5"/>
      <c r="B749" s="5"/>
    </row>
    <row r="750" spans="1:2">
      <c r="A750" s="5"/>
      <c r="B750" s="5"/>
    </row>
    <row r="751" spans="1:2">
      <c r="A751" s="5"/>
      <c r="B751" s="5"/>
    </row>
    <row r="752" spans="1:2">
      <c r="A752" s="5"/>
      <c r="B752" s="5"/>
    </row>
    <row r="753" spans="1:2">
      <c r="A753" s="5"/>
      <c r="B753" s="5"/>
    </row>
    <row r="754" spans="1:2">
      <c r="A754" s="5"/>
      <c r="B754" s="5"/>
    </row>
    <row r="755" spans="1:2">
      <c r="A755" s="5"/>
      <c r="B755" s="5"/>
    </row>
    <row r="756" spans="1:2">
      <c r="A756" s="5"/>
      <c r="B756" s="5"/>
    </row>
    <row r="757" spans="1:2">
      <c r="A757" s="5"/>
      <c r="B757" s="5"/>
    </row>
    <row r="758" spans="1:2">
      <c r="A758" s="5"/>
      <c r="B758" s="5"/>
    </row>
    <row r="759" spans="1:2">
      <c r="A759" s="5"/>
      <c r="B759" s="5"/>
    </row>
    <row r="760" spans="1:2">
      <c r="A760" s="5"/>
      <c r="B760" s="5"/>
    </row>
    <row r="761" spans="1:2">
      <c r="A761" s="5"/>
      <c r="B761" s="5"/>
    </row>
    <row r="762" spans="1:2">
      <c r="A762" s="5"/>
      <c r="B762" s="5"/>
    </row>
    <row r="763" spans="1:2">
      <c r="A763" s="5"/>
      <c r="B763" s="5"/>
    </row>
    <row r="764" spans="1:2">
      <c r="A764" s="5"/>
      <c r="B764" s="5"/>
    </row>
    <row r="765" spans="1:2">
      <c r="A765" s="5"/>
      <c r="B765" s="5"/>
    </row>
    <row r="766" spans="1:2">
      <c r="A766" s="5"/>
      <c r="B766" s="5"/>
    </row>
    <row r="767" spans="1:2">
      <c r="A767" s="5"/>
      <c r="B767" s="5"/>
    </row>
    <row r="768" spans="1:2">
      <c r="A768" s="5"/>
      <c r="B768" s="5"/>
    </row>
    <row r="769" spans="1:2">
      <c r="A769" s="5"/>
      <c r="B769" s="5"/>
    </row>
    <row r="770" spans="1:2">
      <c r="A770" s="5"/>
      <c r="B770" s="5"/>
    </row>
    <row r="771" spans="1:2">
      <c r="A771" s="5"/>
      <c r="B771" s="5"/>
    </row>
    <row r="772" spans="1:2">
      <c r="A772" s="5"/>
      <c r="B772" s="5"/>
    </row>
    <row r="773" spans="1:2">
      <c r="A773" s="5"/>
      <c r="B773" s="5"/>
    </row>
    <row r="774" spans="1:2">
      <c r="A774" s="5"/>
      <c r="B774" s="5"/>
    </row>
    <row r="775" spans="1:2">
      <c r="A775" s="5"/>
      <c r="B775" s="5"/>
    </row>
    <row r="776" spans="1:2">
      <c r="A776" s="5"/>
      <c r="B776" s="5"/>
    </row>
    <row r="777" spans="1:2">
      <c r="A777" s="5"/>
      <c r="B777" s="5"/>
    </row>
    <row r="778" spans="1:2">
      <c r="A778" s="5"/>
      <c r="B778" s="5"/>
    </row>
    <row r="779" spans="1:2">
      <c r="A779" s="5"/>
      <c r="B779" s="5"/>
    </row>
    <row r="780" spans="1:2">
      <c r="A780" s="5"/>
      <c r="B780" s="5"/>
    </row>
    <row r="781" spans="1:2">
      <c r="A781" s="5"/>
      <c r="B781" s="5"/>
    </row>
    <row r="782" spans="1:2">
      <c r="A782" s="5"/>
      <c r="B782" s="5"/>
    </row>
    <row r="783" spans="1:2">
      <c r="A783" s="5"/>
      <c r="B783" s="5"/>
    </row>
    <row r="784" spans="1:2">
      <c r="A784" s="5"/>
      <c r="B784" s="5"/>
    </row>
    <row r="785" spans="1:2">
      <c r="A785" s="5"/>
      <c r="B785" s="5"/>
    </row>
    <row r="786" spans="1:2">
      <c r="A786" s="5"/>
      <c r="B786" s="5"/>
    </row>
    <row r="787" spans="1:2">
      <c r="A787" s="5"/>
      <c r="B787" s="5"/>
    </row>
    <row r="788" spans="1:2">
      <c r="A788" s="5"/>
      <c r="B788" s="5"/>
    </row>
    <row r="789" spans="1:2">
      <c r="A789" s="5"/>
      <c r="B789" s="5"/>
    </row>
    <row r="790" spans="1:2">
      <c r="A790" s="5"/>
      <c r="B790" s="5"/>
    </row>
    <row r="791" spans="1:2">
      <c r="A791" s="5"/>
      <c r="B791" s="5"/>
    </row>
    <row r="792" spans="1:2">
      <c r="A792" s="5"/>
      <c r="B792" s="5"/>
    </row>
    <row r="793" spans="1:2">
      <c r="A793" s="5"/>
      <c r="B793" s="5"/>
    </row>
    <row r="794" spans="1:2">
      <c r="A794" s="5"/>
      <c r="B794" s="5"/>
    </row>
    <row r="795" spans="1:2">
      <c r="A795" s="5"/>
      <c r="B795" s="5"/>
    </row>
    <row r="796" spans="1:2">
      <c r="A796" s="5"/>
      <c r="B796" s="5"/>
    </row>
    <row r="797" spans="1:2">
      <c r="A797" s="5"/>
      <c r="B797" s="5"/>
    </row>
    <row r="798" spans="1:2">
      <c r="A798" s="5"/>
      <c r="B798" s="5"/>
    </row>
    <row r="799" spans="1:2">
      <c r="A799" s="5"/>
      <c r="B799" s="5"/>
    </row>
    <row r="800" spans="1:2">
      <c r="A800" s="5"/>
      <c r="B800" s="5"/>
    </row>
    <row r="801" spans="1:2">
      <c r="A801" s="5"/>
      <c r="B801" s="5"/>
    </row>
    <row r="802" spans="1:2">
      <c r="A802" s="5"/>
      <c r="B802" s="5"/>
    </row>
    <row r="803" spans="1:2">
      <c r="A803" s="5"/>
      <c r="B803" s="5"/>
    </row>
    <row r="804" spans="1:2">
      <c r="A804" s="5"/>
      <c r="B804" s="5"/>
    </row>
    <row r="805" spans="1:2">
      <c r="A805" s="5"/>
      <c r="B805" s="5"/>
    </row>
    <row r="806" spans="1:2">
      <c r="A806" s="5"/>
      <c r="B806" s="5"/>
    </row>
    <row r="807" spans="1:2">
      <c r="A807" s="5"/>
      <c r="B807" s="5"/>
    </row>
    <row r="808" spans="1:2">
      <c r="A808" s="5"/>
      <c r="B808" s="5"/>
    </row>
    <row r="809" spans="1:2">
      <c r="A809" s="5"/>
      <c r="B809" s="5"/>
    </row>
    <row r="810" spans="1:2">
      <c r="A810" s="5"/>
      <c r="B810" s="5"/>
    </row>
    <row r="811" spans="1:2">
      <c r="A811" s="5"/>
      <c r="B811" s="5"/>
    </row>
    <row r="812" spans="1:2">
      <c r="A812" s="5"/>
      <c r="B812" s="5"/>
    </row>
    <row r="813" spans="1:2">
      <c r="A813" s="5"/>
      <c r="B813" s="5"/>
    </row>
    <row r="814" spans="1:2">
      <c r="A814" s="5"/>
      <c r="B814" s="5"/>
    </row>
    <row r="815" spans="1:2">
      <c r="A815" s="5"/>
      <c r="B815" s="5"/>
    </row>
    <row r="816" spans="1:2">
      <c r="A816" s="5"/>
      <c r="B816" s="5"/>
    </row>
    <row r="817" spans="1:2">
      <c r="A817" s="5"/>
      <c r="B817" s="5"/>
    </row>
    <row r="818" spans="1:2">
      <c r="A818" s="5"/>
      <c r="B818" s="5"/>
    </row>
    <row r="819" spans="1:2">
      <c r="A819" s="5"/>
      <c r="B819" s="5"/>
    </row>
    <row r="820" spans="1:2">
      <c r="A820" s="5"/>
      <c r="B820" s="5"/>
    </row>
    <row r="821" spans="1:2">
      <c r="A821" s="5"/>
      <c r="B821" s="5"/>
    </row>
    <row r="822" spans="1:2">
      <c r="A822" s="5"/>
      <c r="B822" s="5"/>
    </row>
    <row r="823" spans="1:2">
      <c r="A823" s="5"/>
      <c r="B823" s="5"/>
    </row>
    <row r="824" spans="1:2">
      <c r="A824" s="5"/>
      <c r="B824" s="5"/>
    </row>
    <row r="825" spans="1:2">
      <c r="A825" s="5"/>
      <c r="B825" s="5"/>
    </row>
    <row r="826" spans="1:2">
      <c r="A826" s="5"/>
      <c r="B826" s="5"/>
    </row>
    <row r="827" spans="1:2">
      <c r="A827" s="5"/>
      <c r="B827" s="5"/>
    </row>
    <row r="828" spans="1:2">
      <c r="A828" s="5"/>
      <c r="B828" s="5"/>
    </row>
    <row r="829" spans="1:2">
      <c r="A829" s="5"/>
      <c r="B829" s="5"/>
    </row>
    <row r="830" spans="1:2">
      <c r="A830" s="5"/>
      <c r="B830" s="5"/>
    </row>
    <row r="831" spans="1:2">
      <c r="A831" s="5"/>
      <c r="B831" s="5"/>
    </row>
    <row r="832" spans="1:2">
      <c r="A832" s="5"/>
      <c r="B832" s="5"/>
    </row>
    <row r="833" spans="1:2">
      <c r="A833" s="5"/>
      <c r="B833" s="5"/>
    </row>
    <row r="834" spans="1:2">
      <c r="A834" s="5"/>
      <c r="B834" s="5"/>
    </row>
    <row r="835" spans="1:2">
      <c r="A835" s="5"/>
      <c r="B835" s="5"/>
    </row>
    <row r="836" spans="1:2">
      <c r="A836" s="5"/>
      <c r="B836" s="5"/>
    </row>
    <row r="837" spans="1:2">
      <c r="A837" s="5"/>
      <c r="B837" s="5"/>
    </row>
    <row r="838" spans="1:2">
      <c r="A838" s="5"/>
      <c r="B838" s="5"/>
    </row>
    <row r="839" spans="1:2">
      <c r="A839" s="5"/>
      <c r="B839" s="5"/>
    </row>
    <row r="840" spans="1:2">
      <c r="A840" s="5"/>
      <c r="B840" s="5"/>
    </row>
    <row r="841" spans="1:2">
      <c r="A841" s="5"/>
      <c r="B841" s="5"/>
    </row>
    <row r="842" spans="1:2">
      <c r="A842" s="5"/>
      <c r="B842" s="5"/>
    </row>
    <row r="843" spans="1:2">
      <c r="A843" s="5"/>
      <c r="B843" s="5"/>
    </row>
    <row r="844" spans="1:2">
      <c r="A844" s="5"/>
      <c r="B844" s="5"/>
    </row>
    <row r="845" spans="1:2">
      <c r="A845" s="5"/>
      <c r="B845" s="5"/>
    </row>
    <row r="846" spans="1:2">
      <c r="A846" s="5"/>
      <c r="B846" s="5"/>
    </row>
    <row r="847" spans="1:2">
      <c r="A847" s="5"/>
      <c r="B847" s="5"/>
    </row>
    <row r="848" spans="1:2">
      <c r="A848" s="5"/>
      <c r="B848" s="5"/>
    </row>
    <row r="849" spans="1:2">
      <c r="A849" s="5"/>
      <c r="B849" s="5"/>
    </row>
    <row r="850" spans="1:2">
      <c r="A850" s="5"/>
      <c r="B850" s="5"/>
    </row>
    <row r="851" spans="1:2">
      <c r="A851" s="5"/>
      <c r="B851" s="5"/>
    </row>
    <row r="852" spans="1:2">
      <c r="A852" s="5"/>
      <c r="B852" s="5"/>
    </row>
    <row r="853" spans="1:2">
      <c r="A853" s="5"/>
      <c r="B853" s="5"/>
    </row>
    <row r="854" spans="1:2">
      <c r="A854" s="5"/>
      <c r="B854" s="5"/>
    </row>
    <row r="855" spans="1:2">
      <c r="A855" s="5"/>
      <c r="B855" s="5"/>
    </row>
    <row r="856" spans="1:2">
      <c r="A856" s="5"/>
      <c r="B856" s="5"/>
    </row>
    <row r="857" spans="1:2">
      <c r="A857" s="5"/>
      <c r="B857" s="5"/>
    </row>
    <row r="858" spans="1:2">
      <c r="A858" s="5"/>
      <c r="B858" s="5"/>
    </row>
    <row r="859" spans="1:2">
      <c r="A859" s="5"/>
      <c r="B859" s="5"/>
    </row>
    <row r="860" spans="1:2">
      <c r="A860" s="5"/>
      <c r="B860" s="5"/>
    </row>
    <row r="861" spans="1:2">
      <c r="A861" s="5"/>
      <c r="B861" s="5"/>
    </row>
    <row r="862" spans="1:2">
      <c r="A862" s="5"/>
      <c r="B862" s="5"/>
    </row>
    <row r="863" spans="1:2">
      <c r="A863" s="5"/>
      <c r="B863" s="5"/>
    </row>
    <row r="864" spans="1:2">
      <c r="A864" s="5"/>
      <c r="B864" s="5"/>
    </row>
    <row r="865" spans="1:2">
      <c r="A865" s="5"/>
      <c r="B865" s="5"/>
    </row>
    <row r="866" spans="1:2">
      <c r="A866" s="5"/>
      <c r="B866" s="5"/>
    </row>
    <row r="867" spans="1:2">
      <c r="A867" s="5"/>
      <c r="B867" s="5"/>
    </row>
    <row r="868" spans="1:2">
      <c r="A868" s="5"/>
      <c r="B868" s="5"/>
    </row>
    <row r="869" spans="1:2">
      <c r="A869" s="5"/>
      <c r="B869" s="5"/>
    </row>
    <row r="870" spans="1:2">
      <c r="A870" s="5"/>
      <c r="B870" s="5"/>
    </row>
    <row r="871" spans="1:2">
      <c r="A871" s="5"/>
      <c r="B871" s="5"/>
    </row>
    <row r="872" spans="1:2">
      <c r="A872" s="5"/>
      <c r="B872" s="5"/>
    </row>
    <row r="873" spans="1:2">
      <c r="A873" s="5"/>
      <c r="B873" s="5"/>
    </row>
    <row r="874" spans="1:2">
      <c r="A874" s="5"/>
      <c r="B874" s="5"/>
    </row>
    <row r="875" spans="1:2">
      <c r="A875" s="5"/>
      <c r="B875" s="5"/>
    </row>
    <row r="876" spans="1:2">
      <c r="A876" s="5"/>
      <c r="B876" s="5"/>
    </row>
    <row r="877" spans="1:2">
      <c r="A877" s="5"/>
      <c r="B877" s="5"/>
    </row>
    <row r="878" spans="1:2">
      <c r="A878" s="5"/>
      <c r="B878" s="5"/>
    </row>
    <row r="879" spans="1:2">
      <c r="A879" s="5"/>
      <c r="B879" s="5"/>
    </row>
    <row r="880" spans="1:2">
      <c r="A880" s="5"/>
      <c r="B880" s="5"/>
    </row>
    <row r="881" spans="1:2">
      <c r="A881" s="5"/>
      <c r="B881" s="5"/>
    </row>
    <row r="882" spans="1:2">
      <c r="A882" s="5"/>
      <c r="B882" s="5"/>
    </row>
    <row r="883" spans="1:2">
      <c r="A883" s="5"/>
      <c r="B883" s="5"/>
    </row>
    <row r="884" spans="1:2">
      <c r="A884" s="5"/>
      <c r="B884" s="5"/>
    </row>
    <row r="885" spans="1:2">
      <c r="A885" s="5"/>
      <c r="B885" s="5"/>
    </row>
    <row r="886" spans="1:2">
      <c r="A886" s="5"/>
      <c r="B886" s="5"/>
    </row>
    <row r="887" spans="1:2">
      <c r="A887" s="5"/>
      <c r="B887" s="5"/>
    </row>
    <row r="888" spans="1:2">
      <c r="A888" s="5"/>
      <c r="B888" s="5"/>
    </row>
    <row r="889" spans="1:2">
      <c r="A889" s="5"/>
      <c r="B889" s="5"/>
    </row>
    <row r="890" spans="1:2">
      <c r="A890" s="5"/>
      <c r="B890" s="5"/>
    </row>
    <row r="891" spans="1:2">
      <c r="A891" s="5"/>
      <c r="B891" s="5"/>
    </row>
    <row r="892" spans="1:2">
      <c r="A892" s="5"/>
      <c r="B892" s="5"/>
    </row>
    <row r="893" spans="1:2">
      <c r="A893" s="5"/>
      <c r="B893" s="5"/>
    </row>
    <row r="894" spans="1:2">
      <c r="A894" s="5"/>
      <c r="B894" s="5"/>
    </row>
    <row r="895" spans="1:2">
      <c r="A895" s="5"/>
      <c r="B895" s="5"/>
    </row>
    <row r="896" spans="1:2">
      <c r="A896" s="5"/>
      <c r="B896" s="5"/>
    </row>
    <row r="897" spans="1:2">
      <c r="A897" s="5"/>
      <c r="B897" s="5"/>
    </row>
    <row r="898" spans="1:2">
      <c r="A898" s="5"/>
      <c r="B898" s="5"/>
    </row>
    <row r="899" spans="1:2">
      <c r="A899" s="5"/>
      <c r="B899" s="5"/>
    </row>
    <row r="900" spans="1:2">
      <c r="A900" s="5"/>
      <c r="B900" s="5"/>
    </row>
    <row r="901" spans="1:2">
      <c r="A901" s="5"/>
      <c r="B901" s="5"/>
    </row>
    <row r="902" spans="1:2">
      <c r="A902" s="5"/>
      <c r="B902" s="5"/>
    </row>
    <row r="903" spans="1:2">
      <c r="A903" s="5"/>
      <c r="B903" s="5"/>
    </row>
    <row r="904" spans="1:2">
      <c r="A904" s="5"/>
      <c r="B904" s="5"/>
    </row>
    <row r="905" spans="1:2">
      <c r="A905" s="5"/>
      <c r="B905" s="5"/>
    </row>
    <row r="906" spans="1:2">
      <c r="A906" s="5"/>
      <c r="B906" s="5"/>
    </row>
    <row r="907" spans="1:2">
      <c r="A907" s="5"/>
      <c r="B907" s="5"/>
    </row>
    <row r="908" spans="1:2">
      <c r="A908" s="5"/>
      <c r="B908" s="5"/>
    </row>
    <row r="909" spans="1:2">
      <c r="A909" s="5"/>
      <c r="B909" s="5"/>
    </row>
    <row r="910" spans="1:2">
      <c r="A910" s="5"/>
      <c r="B910" s="5"/>
    </row>
    <row r="911" spans="1:2">
      <c r="A911" s="5"/>
      <c r="B911" s="5"/>
    </row>
    <row r="912" spans="1:2">
      <c r="A912" s="5"/>
      <c r="B912" s="5"/>
    </row>
    <row r="913" spans="1:2">
      <c r="A913" s="5"/>
      <c r="B913" s="5"/>
    </row>
    <row r="914" spans="1:2">
      <c r="A914" s="5"/>
      <c r="B914" s="5"/>
    </row>
    <row r="915" spans="1:2">
      <c r="A915" s="5"/>
      <c r="B915" s="5"/>
    </row>
    <row r="916" spans="1:2">
      <c r="A916" s="5"/>
      <c r="B916" s="5"/>
    </row>
    <row r="917" spans="1:2">
      <c r="A917" s="5"/>
      <c r="B917" s="5"/>
    </row>
    <row r="918" spans="1:2">
      <c r="A918" s="5"/>
      <c r="B918" s="5"/>
    </row>
    <row r="919" spans="1:2">
      <c r="A919" s="5"/>
      <c r="B919" s="5"/>
    </row>
    <row r="920" spans="1:2">
      <c r="A920" s="5"/>
      <c r="B920" s="5"/>
    </row>
    <row r="921" spans="1:2">
      <c r="A921" s="5"/>
      <c r="B921" s="5"/>
    </row>
    <row r="922" spans="1:2">
      <c r="A922" s="5"/>
      <c r="B922" s="5"/>
    </row>
    <row r="923" spans="1:2">
      <c r="A923" s="5"/>
      <c r="B923" s="5"/>
    </row>
    <row r="924" spans="1:2">
      <c r="A924" s="5"/>
      <c r="B924" s="5"/>
    </row>
    <row r="925" spans="1:2">
      <c r="A925" s="5"/>
      <c r="B925" s="5"/>
    </row>
    <row r="926" spans="1:2">
      <c r="A926" s="5"/>
      <c r="B926" s="5"/>
    </row>
    <row r="927" spans="1:2">
      <c r="A927" s="5"/>
      <c r="B927" s="5"/>
    </row>
    <row r="928" spans="1:2">
      <c r="A928" s="5"/>
      <c r="B928" s="5"/>
    </row>
    <row r="929" spans="1:2">
      <c r="A929" s="5"/>
      <c r="B929" s="5"/>
    </row>
    <row r="930" spans="1:2">
      <c r="A930" s="5"/>
      <c r="B930" s="5"/>
    </row>
    <row r="931" spans="1:2">
      <c r="A931" s="5"/>
      <c r="B931" s="5"/>
    </row>
    <row r="932" spans="1:2">
      <c r="A932" s="5"/>
      <c r="B932" s="5"/>
    </row>
    <row r="933" spans="1:2">
      <c r="A933" s="5"/>
      <c r="B933" s="5"/>
    </row>
    <row r="934" spans="1:2">
      <c r="A934" s="5"/>
      <c r="B934" s="5"/>
    </row>
    <row r="935" spans="1:2">
      <c r="A935" s="5"/>
      <c r="B935" s="5"/>
    </row>
    <row r="936" spans="1:2">
      <c r="A936" s="5"/>
      <c r="B936" s="5"/>
    </row>
    <row r="937" spans="1:2">
      <c r="A937" s="5"/>
      <c r="B937" s="5"/>
    </row>
    <row r="938" spans="1:2">
      <c r="A938" s="5"/>
      <c r="B938" s="5"/>
    </row>
    <row r="939" spans="1:2">
      <c r="A939" s="5"/>
      <c r="B939" s="5"/>
    </row>
    <row r="940" spans="1:2">
      <c r="A940" s="5"/>
      <c r="B940" s="5"/>
    </row>
    <row r="941" spans="1:2">
      <c r="A941" s="5"/>
      <c r="B941" s="5"/>
    </row>
    <row r="942" spans="1:2">
      <c r="A942" s="5"/>
      <c r="B942" s="5"/>
    </row>
    <row r="943" spans="1:2">
      <c r="A943" s="5"/>
      <c r="B943" s="5"/>
    </row>
    <row r="944" spans="1:2">
      <c r="A944" s="5"/>
      <c r="B944" s="5"/>
    </row>
    <row r="945" spans="1:2">
      <c r="A945" s="5"/>
      <c r="B945" s="5"/>
    </row>
    <row r="946" spans="1:2">
      <c r="A946" s="5"/>
      <c r="B946" s="5"/>
    </row>
    <row r="947" spans="1:2">
      <c r="A947" s="5"/>
      <c r="B947" s="5"/>
    </row>
    <row r="948" spans="1:2">
      <c r="A948" s="5"/>
      <c r="B948" s="5"/>
    </row>
    <row r="949" spans="1:2">
      <c r="A949" s="5"/>
      <c r="B949" s="5"/>
    </row>
    <row r="950" spans="1:2">
      <c r="A950" s="5"/>
      <c r="B950" s="5"/>
    </row>
    <row r="951" spans="1:2">
      <c r="A951" s="5"/>
      <c r="B951" s="5"/>
    </row>
    <row r="952" spans="1:2">
      <c r="A952" s="5"/>
      <c r="B952" s="5"/>
    </row>
    <row r="953" spans="1:2">
      <c r="A953" s="5"/>
      <c r="B953" s="5"/>
    </row>
    <row r="954" spans="1:2">
      <c r="A954" s="5"/>
      <c r="B954" s="5"/>
    </row>
    <row r="955" spans="1:2">
      <c r="A955" s="5"/>
      <c r="B955" s="5"/>
    </row>
    <row r="956" spans="1:2">
      <c r="A956" s="5"/>
      <c r="B956" s="5"/>
    </row>
    <row r="957" spans="1:2">
      <c r="A957" s="5"/>
      <c r="B957" s="5"/>
    </row>
    <row r="958" spans="1:2">
      <c r="A958" s="5"/>
      <c r="B958" s="5"/>
    </row>
    <row r="959" spans="1:2">
      <c r="A959" s="5"/>
      <c r="B959" s="5"/>
    </row>
    <row r="960" spans="1:2">
      <c r="A960" s="5"/>
      <c r="B960" s="5"/>
    </row>
    <row r="961" spans="1:2">
      <c r="A961" s="5"/>
      <c r="B961" s="5"/>
    </row>
    <row r="962" spans="1:2">
      <c r="A962" s="5"/>
      <c r="B962" s="5"/>
    </row>
    <row r="963" spans="1:2">
      <c r="A963" s="5"/>
      <c r="B963" s="5"/>
    </row>
    <row r="964" spans="1:2">
      <c r="A964" s="5"/>
      <c r="B964" s="5"/>
    </row>
    <row r="965" spans="1:2">
      <c r="A965" s="5"/>
      <c r="B965" s="5"/>
    </row>
    <row r="966" spans="1:2">
      <c r="A966" s="5"/>
      <c r="B966" s="5"/>
    </row>
    <row r="967" spans="1:2">
      <c r="A967" s="5"/>
      <c r="B967" s="5"/>
    </row>
    <row r="968" spans="1:2">
      <c r="A968" s="5"/>
      <c r="B968" s="5"/>
    </row>
    <row r="969" spans="1:2">
      <c r="A969" s="5"/>
      <c r="B969" s="5"/>
    </row>
    <row r="970" spans="1:2">
      <c r="A970" s="5"/>
      <c r="B970" s="5"/>
    </row>
    <row r="971" spans="1:2">
      <c r="A971" s="5"/>
      <c r="B971" s="5"/>
    </row>
    <row r="972" spans="1:2">
      <c r="A972" s="5"/>
      <c r="B972" s="5"/>
    </row>
    <row r="973" spans="1:2">
      <c r="A973" s="5"/>
      <c r="B973" s="5"/>
    </row>
    <row r="974" spans="1:2">
      <c r="A974" s="5"/>
      <c r="B974" s="5"/>
    </row>
    <row r="975" spans="1:2">
      <c r="A975" s="5"/>
      <c r="B975" s="5"/>
    </row>
    <row r="976" spans="1:2">
      <c r="A976" s="5"/>
      <c r="B976" s="5"/>
    </row>
    <row r="977" spans="1:2">
      <c r="A977" s="5"/>
      <c r="B977" s="5"/>
    </row>
    <row r="978" spans="1:2">
      <c r="A978" s="5"/>
      <c r="B978" s="5"/>
    </row>
    <row r="979" spans="1:2">
      <c r="A979" s="5"/>
      <c r="B979" s="5"/>
    </row>
    <row r="980" spans="1:2">
      <c r="A980" s="5"/>
      <c r="B980" s="5"/>
    </row>
    <row r="981" spans="1:2">
      <c r="A981" s="5"/>
      <c r="B981" s="5"/>
    </row>
    <row r="982" spans="1:2">
      <c r="A982" s="5"/>
      <c r="B982" s="5"/>
    </row>
    <row r="983" spans="1:2">
      <c r="A983" s="5"/>
      <c r="B983" s="5"/>
    </row>
    <row r="984" spans="1:2">
      <c r="A984" s="5"/>
      <c r="B984" s="5"/>
    </row>
    <row r="985" spans="1:2">
      <c r="A985" s="5"/>
      <c r="B985" s="5"/>
    </row>
    <row r="986" spans="1:2">
      <c r="A986" s="5"/>
      <c r="B986" s="5"/>
    </row>
    <row r="987" spans="1:2">
      <c r="A987" s="5"/>
      <c r="B987" s="5"/>
    </row>
    <row r="988" spans="1:2">
      <c r="A988" s="5"/>
      <c r="B988" s="5"/>
    </row>
    <row r="989" spans="1:2">
      <c r="A989" s="5"/>
      <c r="B989" s="5"/>
    </row>
    <row r="990" spans="1:2">
      <c r="A990" s="5"/>
      <c r="B990" s="5"/>
    </row>
    <row r="991" spans="1:2">
      <c r="A991" s="5"/>
      <c r="B991" s="5"/>
    </row>
    <row r="992" spans="1:2">
      <c r="A992" s="5"/>
      <c r="B992" s="5"/>
    </row>
    <row r="993" spans="1:2">
      <c r="A993" s="5"/>
      <c r="B993" s="5"/>
    </row>
    <row r="994" spans="1:2">
      <c r="A994" s="5"/>
      <c r="B994" s="5"/>
    </row>
    <row r="995" spans="1:2">
      <c r="A995" s="5"/>
      <c r="B995" s="5"/>
    </row>
    <row r="996" spans="1:2">
      <c r="A996" s="5"/>
      <c r="B996" s="5"/>
    </row>
    <row r="997" spans="1:2">
      <c r="A997" s="5"/>
      <c r="B997" s="5"/>
    </row>
    <row r="998" spans="1:2">
      <c r="A998" s="5"/>
      <c r="B998" s="5"/>
    </row>
    <row r="999" spans="1:2">
      <c r="A999" s="5"/>
      <c r="B999" s="5"/>
    </row>
    <row r="1000" spans="1:2">
      <c r="A1000" s="5"/>
      <c r="B1000" s="5"/>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heetViews>
  <sheetFormatPr defaultColWidth="15.140625" defaultRowHeight="15" customHeight="1"/>
  <cols>
    <col min="1" max="2" width="6.5703125" customWidth="1"/>
    <col min="3" max="3" width="16.85546875" customWidth="1"/>
    <col min="4" max="5" width="7.5703125" customWidth="1"/>
    <col min="6" max="6" width="10.140625" customWidth="1"/>
    <col min="7" max="7" width="9.7109375" customWidth="1"/>
    <col min="8" max="26" width="7.5703125" customWidth="1"/>
  </cols>
  <sheetData>
    <row r="1" spans="1:7" ht="45" customHeight="1">
      <c r="A1" s="1" t="s">
        <v>2</v>
      </c>
      <c r="B1" s="1" t="s">
        <v>138</v>
      </c>
      <c r="C1" s="2" t="s">
        <v>339</v>
      </c>
      <c r="E1" s="3" t="s">
        <v>340</v>
      </c>
      <c r="F1" s="3" t="s">
        <v>341</v>
      </c>
      <c r="G1" s="3" t="s">
        <v>342</v>
      </c>
    </row>
    <row r="2" spans="1:7">
      <c r="A2" s="3">
        <v>2007</v>
      </c>
      <c r="B2" s="3" t="s">
        <v>145</v>
      </c>
      <c r="C2" s="4">
        <v>1</v>
      </c>
      <c r="E2" s="3">
        <v>2007</v>
      </c>
      <c r="F2" s="3" t="s">
        <v>145</v>
      </c>
      <c r="G2" s="3">
        <v>35</v>
      </c>
    </row>
    <row r="3" spans="1:7">
      <c r="A3" s="3">
        <v>2008</v>
      </c>
      <c r="B3" s="3" t="s">
        <v>145</v>
      </c>
      <c r="C3" s="4">
        <v>1</v>
      </c>
      <c r="E3" s="3">
        <v>2008</v>
      </c>
      <c r="F3" s="3" t="s">
        <v>145</v>
      </c>
      <c r="G3" s="3">
        <v>17</v>
      </c>
    </row>
    <row r="4" spans="1:7">
      <c r="A4" s="3">
        <v>2009</v>
      </c>
      <c r="B4" s="3" t="s">
        <v>145</v>
      </c>
      <c r="C4" s="4">
        <v>4</v>
      </c>
      <c r="E4" s="3">
        <v>2009</v>
      </c>
      <c r="F4" s="3" t="s">
        <v>145</v>
      </c>
      <c r="G4" s="3">
        <v>12</v>
      </c>
    </row>
    <row r="5" spans="1:7">
      <c r="A5" s="3">
        <v>2010</v>
      </c>
      <c r="B5" s="3" t="s">
        <v>145</v>
      </c>
      <c r="C5" s="4">
        <v>1</v>
      </c>
      <c r="E5" s="3">
        <v>2010</v>
      </c>
      <c r="F5" s="3" t="s">
        <v>145</v>
      </c>
      <c r="G5" s="3">
        <v>16</v>
      </c>
    </row>
    <row r="6" spans="1:7">
      <c r="A6" s="3">
        <v>2011</v>
      </c>
      <c r="B6" s="3" t="s">
        <v>145</v>
      </c>
      <c r="C6" s="4">
        <v>0</v>
      </c>
      <c r="E6" s="3">
        <v>2011</v>
      </c>
      <c r="F6" s="3" t="s">
        <v>145</v>
      </c>
      <c r="G6" s="3">
        <v>7</v>
      </c>
    </row>
    <row r="7" spans="1:7">
      <c r="A7" s="3">
        <v>2012</v>
      </c>
      <c r="B7" s="3" t="s">
        <v>145</v>
      </c>
      <c r="C7" s="4">
        <v>3</v>
      </c>
      <c r="E7" s="3">
        <v>2012</v>
      </c>
      <c r="F7" s="3" t="s">
        <v>145</v>
      </c>
      <c r="G7" s="3">
        <v>24</v>
      </c>
    </row>
    <row r="8" spans="1:7">
      <c r="A8" s="3">
        <v>2013</v>
      </c>
      <c r="B8" s="3" t="s">
        <v>145</v>
      </c>
      <c r="C8" s="4">
        <v>3</v>
      </c>
      <c r="E8" s="3">
        <v>2013</v>
      </c>
      <c r="F8" s="3" t="s">
        <v>145</v>
      </c>
      <c r="G8" s="3">
        <v>0</v>
      </c>
    </row>
    <row r="9" spans="1:7">
      <c r="A9" s="3">
        <v>2014</v>
      </c>
      <c r="B9" s="3" t="s">
        <v>156</v>
      </c>
      <c r="C9" s="4">
        <v>0</v>
      </c>
      <c r="E9" s="3">
        <v>2014</v>
      </c>
      <c r="F9" s="3" t="s">
        <v>156</v>
      </c>
      <c r="G9" s="3">
        <v>1</v>
      </c>
    </row>
    <row r="10" spans="1:7">
      <c r="A10" s="3"/>
      <c r="B10" s="3"/>
      <c r="C10" s="4"/>
      <c r="E10" s="13"/>
      <c r="F10" s="5"/>
    </row>
    <row r="11" spans="1:7">
      <c r="A11" s="3"/>
      <c r="B11" s="3"/>
      <c r="C11" s="4"/>
      <c r="F11" s="5"/>
    </row>
    <row r="12" spans="1:7">
      <c r="A12" s="3"/>
      <c r="B12" s="3"/>
      <c r="C12" s="3"/>
      <c r="F12" s="5"/>
    </row>
    <row r="13" spans="1:7">
      <c r="A13" s="3"/>
      <c r="B13" s="3"/>
      <c r="C13" s="3"/>
      <c r="F13" s="5"/>
    </row>
    <row r="14" spans="1:7">
      <c r="A14" s="3"/>
      <c r="B14" s="3"/>
      <c r="C14" s="3"/>
      <c r="F14" s="5"/>
    </row>
    <row r="15" spans="1:7">
      <c r="A15" s="3"/>
      <c r="B15" s="3"/>
      <c r="C15" s="3"/>
      <c r="F15" s="5"/>
    </row>
    <row r="16" spans="1:7">
      <c r="A16" s="3"/>
      <c r="B16" s="3"/>
      <c r="C16" s="3"/>
      <c r="F16" s="5"/>
    </row>
    <row r="17" spans="1:6">
      <c r="A17" s="3"/>
      <c r="B17" s="3"/>
      <c r="C17" s="3"/>
      <c r="F17" s="5"/>
    </row>
    <row r="18" spans="1:6">
      <c r="A18" s="3"/>
      <c r="B18" s="3"/>
      <c r="C18" s="3"/>
      <c r="F18" s="5"/>
    </row>
    <row r="19" spans="1:6">
      <c r="A19" s="3"/>
      <c r="B19" s="3"/>
      <c r="C19" s="3"/>
      <c r="F19" s="5"/>
    </row>
    <row r="20" spans="1:6">
      <c r="A20" s="3"/>
      <c r="B20" s="3"/>
      <c r="C20" s="3"/>
      <c r="F20" s="5"/>
    </row>
    <row r="21" spans="1:6">
      <c r="A21" s="3"/>
      <c r="B21" s="3"/>
      <c r="C21" s="3"/>
      <c r="F21" s="5"/>
    </row>
    <row r="22" spans="1:6">
      <c r="A22" s="3"/>
      <c r="B22" s="3"/>
      <c r="C22" s="3"/>
      <c r="F22" s="5"/>
    </row>
    <row r="23" spans="1:6">
      <c r="A23" s="3"/>
      <c r="B23" s="3"/>
      <c r="C23" s="3"/>
      <c r="F23" s="5"/>
    </row>
    <row r="24" spans="1:6">
      <c r="A24" s="3"/>
      <c r="B24" s="3"/>
      <c r="C24" s="3"/>
      <c r="F24" s="5"/>
    </row>
    <row r="25" spans="1:6">
      <c r="A25" s="3"/>
      <c r="B25" s="3"/>
      <c r="C25" s="3"/>
      <c r="F25" s="5"/>
    </row>
    <row r="26" spans="1:6">
      <c r="A26" s="3"/>
      <c r="B26" s="3"/>
      <c r="C26" s="3"/>
      <c r="F26" s="5"/>
    </row>
    <row r="27" spans="1:6">
      <c r="A27" s="3"/>
      <c r="B27" s="3"/>
      <c r="C27" s="3"/>
      <c r="F27" s="5"/>
    </row>
    <row r="28" spans="1:6">
      <c r="A28" s="3"/>
      <c r="B28" s="3"/>
      <c r="C28" s="3"/>
      <c r="F28" s="5"/>
    </row>
    <row r="29" spans="1:6">
      <c r="A29" s="3"/>
      <c r="B29" s="3"/>
      <c r="C29" s="3"/>
      <c r="F29" s="5"/>
    </row>
    <row r="30" spans="1:6">
      <c r="A30" s="3"/>
      <c r="B30" s="3"/>
      <c r="C30" s="3"/>
      <c r="F30" s="5"/>
    </row>
    <row r="31" spans="1:6">
      <c r="A31" s="3"/>
      <c r="B31" s="3"/>
      <c r="C31" s="3"/>
      <c r="F31" s="5"/>
    </row>
    <row r="32" spans="1:6">
      <c r="A32" s="3"/>
      <c r="B32" s="3"/>
      <c r="C32" s="3"/>
      <c r="F32" s="5"/>
    </row>
    <row r="33" spans="1:6">
      <c r="A33" s="3"/>
      <c r="B33" s="3"/>
      <c r="C33" s="3"/>
      <c r="F33" s="5"/>
    </row>
    <row r="34" spans="1:6">
      <c r="A34" s="3"/>
      <c r="B34" s="3"/>
      <c r="C34" s="3"/>
      <c r="F34" s="5"/>
    </row>
    <row r="35" spans="1:6">
      <c r="A35" s="3"/>
      <c r="B35" s="3"/>
      <c r="C35" s="3"/>
      <c r="F35" s="5"/>
    </row>
    <row r="36" spans="1:6">
      <c r="A36" s="3"/>
      <c r="B36" s="3"/>
      <c r="C36" s="3"/>
      <c r="F36" s="5"/>
    </row>
    <row r="37" spans="1:6">
      <c r="A37" s="3"/>
      <c r="B37" s="3"/>
      <c r="C37" s="3"/>
      <c r="F37" s="5"/>
    </row>
    <row r="38" spans="1:6">
      <c r="A38" s="3"/>
      <c r="B38" s="3"/>
      <c r="C38" s="3"/>
      <c r="F38" s="5"/>
    </row>
    <row r="39" spans="1:6">
      <c r="A39" s="3"/>
      <c r="B39" s="3"/>
      <c r="C39" s="3"/>
      <c r="F39" s="5"/>
    </row>
    <row r="40" spans="1:6">
      <c r="A40" s="3"/>
      <c r="B40" s="3"/>
      <c r="C40" s="3"/>
      <c r="F40" s="5"/>
    </row>
    <row r="41" spans="1:6">
      <c r="A41" s="3"/>
      <c r="B41" s="3"/>
      <c r="C41" s="3"/>
      <c r="F41" s="5"/>
    </row>
    <row r="42" spans="1:6">
      <c r="A42" s="3"/>
      <c r="B42" s="3"/>
      <c r="C42" s="3"/>
      <c r="F42" s="5"/>
    </row>
    <row r="43" spans="1:6">
      <c r="A43" s="3"/>
      <c r="B43" s="3"/>
      <c r="C43" s="3"/>
      <c r="F43" s="5"/>
    </row>
    <row r="44" spans="1:6">
      <c r="A44" s="3"/>
      <c r="B44" s="3"/>
      <c r="C44" s="3"/>
      <c r="F44" s="5"/>
    </row>
    <row r="45" spans="1:6">
      <c r="A45" s="3"/>
      <c r="B45" s="3"/>
      <c r="C45" s="3"/>
      <c r="F45" s="5"/>
    </row>
    <row r="46" spans="1:6">
      <c r="A46" s="3"/>
      <c r="B46" s="3"/>
      <c r="C46" s="3"/>
      <c r="F46" s="5"/>
    </row>
    <row r="47" spans="1:6">
      <c r="A47" s="3"/>
      <c r="B47" s="3"/>
      <c r="C47" s="3"/>
      <c r="F47" s="5"/>
    </row>
    <row r="48" spans="1:6">
      <c r="A48" s="3"/>
      <c r="B48" s="3"/>
      <c r="C48" s="3"/>
      <c r="F48" s="5"/>
    </row>
    <row r="49" spans="1:6">
      <c r="A49" s="3"/>
      <c r="B49" s="3"/>
      <c r="C49" s="3"/>
      <c r="F49" s="5"/>
    </row>
    <row r="50" spans="1:6">
      <c r="A50" s="3"/>
      <c r="B50" s="3"/>
      <c r="C50" s="3"/>
      <c r="F50" s="5"/>
    </row>
    <row r="51" spans="1:6">
      <c r="A51" s="3"/>
      <c r="B51" s="3"/>
      <c r="C51" s="3"/>
      <c r="F51" s="5"/>
    </row>
    <row r="52" spans="1:6">
      <c r="A52" s="3"/>
      <c r="B52" s="3"/>
      <c r="C52" s="3"/>
      <c r="F52" s="5"/>
    </row>
    <row r="53" spans="1:6">
      <c r="A53" s="3"/>
      <c r="B53" s="3"/>
      <c r="C53" s="3"/>
      <c r="F53" s="5"/>
    </row>
    <row r="54" spans="1:6">
      <c r="A54" s="3"/>
      <c r="B54" s="3"/>
      <c r="C54" s="3"/>
      <c r="F54" s="5"/>
    </row>
    <row r="55" spans="1:6">
      <c r="A55" s="3"/>
      <c r="B55" s="3"/>
      <c r="C55" s="3"/>
      <c r="F55" s="5"/>
    </row>
    <row r="56" spans="1:6">
      <c r="A56" s="3"/>
      <c r="B56" s="3"/>
      <c r="C56" s="3"/>
      <c r="F56" s="5"/>
    </row>
    <row r="57" spans="1:6">
      <c r="A57" s="3"/>
      <c r="B57" s="3"/>
      <c r="C57" s="3"/>
      <c r="F57" s="5"/>
    </row>
    <row r="58" spans="1:6">
      <c r="A58" s="3"/>
      <c r="B58" s="3"/>
      <c r="C58" s="3"/>
      <c r="F58" s="5"/>
    </row>
    <row r="59" spans="1:6">
      <c r="A59" s="3"/>
      <c r="B59" s="3"/>
      <c r="C59" s="3"/>
      <c r="F59" s="5"/>
    </row>
    <row r="60" spans="1:6">
      <c r="A60" s="3"/>
      <c r="B60" s="3"/>
      <c r="C60" s="3"/>
      <c r="F60" s="5"/>
    </row>
    <row r="61" spans="1:6">
      <c r="A61" s="3"/>
      <c r="B61" s="3"/>
      <c r="C61" s="3"/>
      <c r="F61" s="5"/>
    </row>
    <row r="62" spans="1:6">
      <c r="A62" s="3"/>
      <c r="B62" s="3"/>
      <c r="C62" s="3"/>
      <c r="F62" s="5"/>
    </row>
    <row r="63" spans="1:6">
      <c r="A63" s="3"/>
      <c r="B63" s="3"/>
      <c r="C63" s="3"/>
      <c r="F63" s="5"/>
    </row>
    <row r="64" spans="1:6">
      <c r="A64" s="3"/>
      <c r="B64" s="3"/>
      <c r="C64" s="3"/>
      <c r="F64" s="5"/>
    </row>
    <row r="65" spans="1:6">
      <c r="A65" s="3"/>
      <c r="B65" s="3"/>
      <c r="C65" s="3"/>
      <c r="F65" s="5"/>
    </row>
    <row r="66" spans="1:6">
      <c r="A66" s="3"/>
      <c r="B66" s="3"/>
      <c r="C66" s="3"/>
      <c r="F66" s="5"/>
    </row>
    <row r="67" spans="1:6">
      <c r="A67" s="3"/>
      <c r="B67" s="3"/>
      <c r="C67" s="3"/>
      <c r="F67" s="5"/>
    </row>
    <row r="68" spans="1:6">
      <c r="A68" s="3"/>
      <c r="B68" s="3"/>
      <c r="C68" s="3"/>
      <c r="F68" s="5"/>
    </row>
    <row r="69" spans="1:6">
      <c r="A69" s="3"/>
      <c r="B69" s="3"/>
      <c r="C69" s="3"/>
      <c r="F69" s="5"/>
    </row>
    <row r="70" spans="1:6">
      <c r="A70" s="3"/>
      <c r="B70" s="3"/>
      <c r="C70" s="3"/>
      <c r="F70" s="5"/>
    </row>
    <row r="71" spans="1:6">
      <c r="A71" s="3"/>
      <c r="B71" s="3"/>
      <c r="C71" s="3"/>
      <c r="F71" s="5"/>
    </row>
    <row r="72" spans="1:6">
      <c r="A72" s="3"/>
      <c r="B72" s="3"/>
      <c r="C72" s="3"/>
      <c r="F72" s="5"/>
    </row>
    <row r="73" spans="1:6">
      <c r="A73" s="3"/>
      <c r="B73" s="3"/>
      <c r="C73" s="3"/>
      <c r="F73" s="5"/>
    </row>
    <row r="74" spans="1:6">
      <c r="A74" s="3"/>
      <c r="B74" s="3"/>
      <c r="C74" s="3"/>
      <c r="F74" s="5"/>
    </row>
    <row r="75" spans="1:6">
      <c r="A75" s="3"/>
      <c r="B75" s="3"/>
      <c r="C75" s="3"/>
      <c r="F75" s="5"/>
    </row>
    <row r="76" spans="1:6">
      <c r="A76" s="3"/>
      <c r="B76" s="3"/>
      <c r="C76" s="3"/>
      <c r="F76" s="5"/>
    </row>
    <row r="77" spans="1:6">
      <c r="A77" s="3"/>
      <c r="B77" s="3"/>
      <c r="C77" s="3"/>
      <c r="F77" s="5"/>
    </row>
    <row r="78" spans="1:6">
      <c r="A78" s="3"/>
      <c r="B78" s="3"/>
      <c r="C78" s="3"/>
      <c r="F78" s="5"/>
    </row>
    <row r="79" spans="1:6">
      <c r="A79" s="3"/>
      <c r="B79" s="3"/>
      <c r="C79" s="3"/>
      <c r="F79" s="5"/>
    </row>
    <row r="80" spans="1:6">
      <c r="A80" s="3"/>
      <c r="B80" s="3"/>
      <c r="C80" s="3"/>
      <c r="F80" s="5"/>
    </row>
    <row r="81" spans="1:6">
      <c r="A81" s="3"/>
      <c r="B81" s="3"/>
      <c r="C81" s="3"/>
      <c r="F81" s="5"/>
    </row>
    <row r="82" spans="1:6">
      <c r="A82" s="3"/>
      <c r="B82" s="3"/>
      <c r="C82" s="3"/>
      <c r="F82" s="5"/>
    </row>
    <row r="83" spans="1:6">
      <c r="A83" s="3"/>
      <c r="B83" s="3"/>
      <c r="C83" s="3"/>
      <c r="F83" s="5"/>
    </row>
    <row r="84" spans="1:6">
      <c r="A84" s="3"/>
      <c r="B84" s="3"/>
      <c r="C84" s="3"/>
      <c r="F84" s="5"/>
    </row>
    <row r="85" spans="1:6">
      <c r="A85" s="3"/>
      <c r="B85" s="3"/>
      <c r="C85" s="3"/>
      <c r="F85" s="5"/>
    </row>
    <row r="86" spans="1:6">
      <c r="A86" s="3"/>
      <c r="B86" s="3"/>
      <c r="C86" s="3"/>
      <c r="F86" s="5"/>
    </row>
    <row r="87" spans="1:6">
      <c r="A87" s="3"/>
      <c r="B87" s="3"/>
      <c r="C87" s="3"/>
      <c r="F87" s="5"/>
    </row>
    <row r="88" spans="1:6">
      <c r="A88" s="3"/>
      <c r="B88" s="3"/>
      <c r="C88" s="3"/>
      <c r="F88" s="5"/>
    </row>
    <row r="89" spans="1:6">
      <c r="A89" s="3"/>
      <c r="B89" s="3"/>
      <c r="C89" s="3"/>
      <c r="F89" s="5"/>
    </row>
    <row r="90" spans="1:6">
      <c r="A90" s="3"/>
      <c r="B90" s="3"/>
      <c r="C90" s="3"/>
      <c r="F90" s="5"/>
    </row>
    <row r="91" spans="1:6">
      <c r="A91" s="3"/>
      <c r="B91" s="3"/>
      <c r="C91" s="3"/>
      <c r="F91" s="5"/>
    </row>
    <row r="92" spans="1:6">
      <c r="A92" s="3"/>
      <c r="B92" s="3"/>
      <c r="C92" s="3"/>
      <c r="F92" s="5"/>
    </row>
    <row r="93" spans="1:6">
      <c r="A93" s="3"/>
      <c r="B93" s="3"/>
      <c r="C93" s="3"/>
      <c r="F93" s="5"/>
    </row>
    <row r="94" spans="1:6">
      <c r="A94" s="3"/>
      <c r="B94" s="3"/>
      <c r="C94" s="3"/>
      <c r="F94" s="5"/>
    </row>
    <row r="95" spans="1:6">
      <c r="A95" s="3"/>
      <c r="B95" s="3"/>
      <c r="C95" s="3"/>
      <c r="F95" s="5"/>
    </row>
    <row r="96" spans="1:6">
      <c r="A96" s="3"/>
      <c r="B96" s="3"/>
      <c r="C96" s="3"/>
      <c r="F96" s="5"/>
    </row>
    <row r="97" spans="1:6">
      <c r="A97" s="3"/>
      <c r="B97" s="3"/>
      <c r="C97" s="3"/>
      <c r="F97" s="5"/>
    </row>
    <row r="98" spans="1:6">
      <c r="A98" s="3"/>
      <c r="B98" s="3"/>
      <c r="C98" s="3"/>
      <c r="F98" s="5"/>
    </row>
    <row r="99" spans="1:6">
      <c r="A99" s="3"/>
      <c r="B99" s="3"/>
      <c r="C99" s="3"/>
      <c r="F99" s="5"/>
    </row>
    <row r="100" spans="1:6">
      <c r="A100" s="3"/>
      <c r="B100" s="3"/>
      <c r="C100" s="3"/>
      <c r="F100" s="5"/>
    </row>
    <row r="101" spans="1:6">
      <c r="A101" s="3"/>
      <c r="B101" s="3"/>
      <c r="C101" s="3"/>
      <c r="F101" s="5"/>
    </row>
    <row r="102" spans="1:6">
      <c r="A102" s="3"/>
      <c r="B102" s="3"/>
      <c r="C102" s="3"/>
      <c r="F102" s="5"/>
    </row>
    <row r="103" spans="1:6">
      <c r="A103" s="3"/>
      <c r="B103" s="3"/>
      <c r="C103" s="3"/>
      <c r="F103" s="5"/>
    </row>
    <row r="104" spans="1:6">
      <c r="A104" s="3"/>
      <c r="B104" s="3"/>
      <c r="C104" s="3"/>
      <c r="F104" s="5"/>
    </row>
    <row r="105" spans="1:6">
      <c r="A105" s="3"/>
      <c r="B105" s="3"/>
      <c r="C105" s="3"/>
      <c r="F105" s="5"/>
    </row>
    <row r="106" spans="1:6">
      <c r="A106" s="3"/>
      <c r="B106" s="3"/>
      <c r="C106" s="3"/>
      <c r="F106" s="5"/>
    </row>
    <row r="107" spans="1:6">
      <c r="A107" s="3"/>
      <c r="B107" s="3"/>
      <c r="C107" s="3"/>
      <c r="F107" s="5"/>
    </row>
    <row r="108" spans="1:6">
      <c r="A108" s="3"/>
      <c r="B108" s="3"/>
      <c r="C108" s="3"/>
      <c r="F108" s="5"/>
    </row>
    <row r="109" spans="1:6">
      <c r="A109" s="3"/>
      <c r="B109" s="3"/>
      <c r="C109" s="3"/>
      <c r="F109" s="5"/>
    </row>
    <row r="110" spans="1:6">
      <c r="A110" s="3"/>
      <c r="B110" s="3"/>
      <c r="C110" s="3"/>
      <c r="F110" s="5"/>
    </row>
    <row r="111" spans="1:6">
      <c r="A111" s="3"/>
      <c r="B111" s="3"/>
      <c r="C111" s="3"/>
      <c r="F111" s="5"/>
    </row>
    <row r="112" spans="1:6">
      <c r="A112" s="3"/>
      <c r="B112" s="3"/>
      <c r="C112" s="3"/>
      <c r="F112" s="5"/>
    </row>
    <row r="113" spans="1:6">
      <c r="A113" s="3"/>
      <c r="B113" s="3"/>
      <c r="C113" s="3"/>
      <c r="F113" s="5"/>
    </row>
    <row r="114" spans="1:6">
      <c r="A114" s="3"/>
      <c r="B114" s="3"/>
      <c r="C114" s="3"/>
      <c r="F114" s="5"/>
    </row>
    <row r="115" spans="1:6">
      <c r="A115" s="3"/>
      <c r="B115" s="3"/>
      <c r="C115" s="3"/>
      <c r="F115" s="5"/>
    </row>
    <row r="116" spans="1:6">
      <c r="A116" s="3"/>
      <c r="B116" s="3"/>
      <c r="C116" s="3"/>
      <c r="F116" s="5"/>
    </row>
    <row r="117" spans="1:6">
      <c r="A117" s="3"/>
      <c r="B117" s="3"/>
      <c r="C117" s="3"/>
      <c r="F117" s="5"/>
    </row>
    <row r="118" spans="1:6">
      <c r="A118" s="3"/>
      <c r="B118" s="3"/>
      <c r="C118" s="3"/>
      <c r="F118" s="5"/>
    </row>
    <row r="119" spans="1:6">
      <c r="A119" s="3"/>
      <c r="B119" s="3"/>
      <c r="C119" s="3"/>
      <c r="F119" s="5"/>
    </row>
    <row r="120" spans="1:6">
      <c r="A120" s="3"/>
      <c r="B120" s="3"/>
      <c r="C120" s="3"/>
      <c r="F120" s="5"/>
    </row>
    <row r="121" spans="1:6">
      <c r="A121" s="3"/>
      <c r="B121" s="3"/>
      <c r="C121" s="3"/>
      <c r="F121" s="5"/>
    </row>
    <row r="122" spans="1:6">
      <c r="A122" s="3"/>
      <c r="B122" s="3"/>
      <c r="C122" s="3"/>
      <c r="F122" s="5"/>
    </row>
    <row r="123" spans="1:6">
      <c r="A123" s="3"/>
      <c r="B123" s="3"/>
      <c r="C123" s="3"/>
      <c r="F123" s="5"/>
    </row>
    <row r="124" spans="1:6">
      <c r="A124" s="3"/>
      <c r="B124" s="3"/>
      <c r="C124" s="3"/>
      <c r="F124" s="5"/>
    </row>
    <row r="125" spans="1:6">
      <c r="A125" s="3"/>
      <c r="B125" s="3"/>
      <c r="C125" s="3"/>
      <c r="F125" s="5"/>
    </row>
    <row r="126" spans="1:6">
      <c r="A126" s="3"/>
      <c r="B126" s="3"/>
      <c r="C126" s="3"/>
      <c r="F126" s="5"/>
    </row>
    <row r="127" spans="1:6">
      <c r="A127" s="3"/>
      <c r="B127" s="3"/>
      <c r="C127" s="3"/>
      <c r="F127" s="5"/>
    </row>
    <row r="128" spans="1:6">
      <c r="A128" s="3"/>
      <c r="B128" s="3"/>
      <c r="C128" s="3"/>
      <c r="F128" s="5"/>
    </row>
    <row r="129" spans="1:6">
      <c r="A129" s="3"/>
      <c r="B129" s="3"/>
      <c r="C129" s="3"/>
      <c r="F129" s="5"/>
    </row>
    <row r="130" spans="1:6">
      <c r="A130" s="3"/>
      <c r="B130" s="3"/>
      <c r="C130" s="3"/>
      <c r="F130" s="5"/>
    </row>
    <row r="131" spans="1:6">
      <c r="A131" s="3"/>
      <c r="B131" s="3"/>
      <c r="C131" s="3"/>
      <c r="F131" s="5"/>
    </row>
    <row r="132" spans="1:6">
      <c r="A132" s="3"/>
      <c r="B132" s="3"/>
      <c r="C132" s="3"/>
      <c r="F132" s="5"/>
    </row>
    <row r="133" spans="1:6">
      <c r="A133" s="3"/>
      <c r="B133" s="3"/>
      <c r="C133" s="3"/>
      <c r="F133" s="5"/>
    </row>
    <row r="134" spans="1:6">
      <c r="A134" s="3"/>
      <c r="B134" s="3"/>
      <c r="C134" s="3"/>
      <c r="F134" s="5"/>
    </row>
    <row r="135" spans="1:6">
      <c r="A135" s="3"/>
      <c r="B135" s="3"/>
      <c r="C135" s="3"/>
      <c r="F135" s="5"/>
    </row>
    <row r="136" spans="1:6">
      <c r="A136" s="3"/>
      <c r="B136" s="3"/>
      <c r="C136" s="3"/>
      <c r="F136" s="5"/>
    </row>
    <row r="137" spans="1:6">
      <c r="A137" s="3"/>
      <c r="B137" s="3"/>
      <c r="C137" s="3"/>
      <c r="F137" s="5"/>
    </row>
    <row r="138" spans="1:6">
      <c r="A138" s="3"/>
      <c r="B138" s="3"/>
      <c r="C138" s="3"/>
      <c r="F138" s="5"/>
    </row>
    <row r="139" spans="1:6">
      <c r="A139" s="3"/>
      <c r="B139" s="3"/>
      <c r="C139" s="3"/>
      <c r="F139" s="5"/>
    </row>
    <row r="140" spans="1:6">
      <c r="A140" s="3"/>
      <c r="B140" s="3"/>
      <c r="C140" s="3"/>
      <c r="F140" s="5"/>
    </row>
    <row r="141" spans="1:6">
      <c r="A141" s="3"/>
      <c r="B141" s="3"/>
      <c r="C141" s="3"/>
      <c r="F141" s="5"/>
    </row>
    <row r="142" spans="1:6">
      <c r="A142" s="3"/>
      <c r="B142" s="3"/>
      <c r="C142" s="3"/>
      <c r="F142" s="5"/>
    </row>
    <row r="143" spans="1:6">
      <c r="A143" s="3"/>
      <c r="B143" s="3"/>
      <c r="C143" s="3"/>
      <c r="F143" s="5"/>
    </row>
    <row r="144" spans="1:6">
      <c r="A144" s="3"/>
      <c r="B144" s="3"/>
      <c r="C144" s="3"/>
      <c r="F144" s="5"/>
    </row>
    <row r="145" spans="1:6">
      <c r="A145" s="3"/>
      <c r="B145" s="3"/>
      <c r="C145" s="3"/>
      <c r="F145" s="5"/>
    </row>
    <row r="146" spans="1:6">
      <c r="A146" s="3"/>
      <c r="B146" s="3"/>
      <c r="C146" s="3"/>
      <c r="F146" s="5"/>
    </row>
    <row r="147" spans="1:6">
      <c r="A147" s="3"/>
      <c r="B147" s="3"/>
      <c r="C147" s="3"/>
      <c r="F147" s="5"/>
    </row>
    <row r="148" spans="1:6">
      <c r="A148" s="3"/>
      <c r="B148" s="3"/>
      <c r="C148" s="3"/>
      <c r="F148" s="5"/>
    </row>
    <row r="149" spans="1:6">
      <c r="A149" s="3"/>
      <c r="B149" s="3"/>
      <c r="C149" s="3"/>
      <c r="F149" s="5"/>
    </row>
    <row r="150" spans="1:6">
      <c r="A150" s="3"/>
      <c r="B150" s="3"/>
      <c r="C150" s="3"/>
      <c r="F150" s="5"/>
    </row>
    <row r="151" spans="1:6">
      <c r="A151" s="3"/>
      <c r="B151" s="3"/>
      <c r="C151" s="3"/>
      <c r="F151" s="5"/>
    </row>
    <row r="152" spans="1:6">
      <c r="A152" s="3"/>
      <c r="B152" s="3"/>
      <c r="C152" s="3"/>
      <c r="F152" s="5"/>
    </row>
    <row r="153" spans="1:6">
      <c r="A153" s="3"/>
      <c r="B153" s="3"/>
      <c r="C153" s="3"/>
      <c r="F153" s="5"/>
    </row>
    <row r="154" spans="1:6">
      <c r="A154" s="3"/>
      <c r="B154" s="3"/>
      <c r="C154" s="3"/>
      <c r="F154" s="5"/>
    </row>
    <row r="155" spans="1:6">
      <c r="A155" s="3"/>
      <c r="B155" s="3"/>
      <c r="C155" s="3"/>
      <c r="F155" s="5"/>
    </row>
    <row r="156" spans="1:6">
      <c r="A156" s="3"/>
      <c r="B156" s="3"/>
      <c r="C156" s="3"/>
      <c r="F156" s="5"/>
    </row>
    <row r="157" spans="1:6">
      <c r="A157" s="3"/>
      <c r="B157" s="3"/>
      <c r="C157" s="3"/>
      <c r="F157" s="5"/>
    </row>
    <row r="158" spans="1:6">
      <c r="A158" s="3"/>
      <c r="B158" s="3"/>
      <c r="C158" s="3"/>
      <c r="F158" s="5"/>
    </row>
    <row r="159" spans="1:6">
      <c r="A159" s="3"/>
      <c r="B159" s="3"/>
      <c r="C159" s="3"/>
      <c r="F159" s="5"/>
    </row>
    <row r="160" spans="1:6">
      <c r="A160" s="3"/>
      <c r="B160" s="3"/>
      <c r="C160" s="3"/>
      <c r="F160" s="5"/>
    </row>
    <row r="161" spans="1:6">
      <c r="A161" s="3"/>
      <c r="B161" s="3"/>
      <c r="C161" s="3"/>
      <c r="F161" s="5"/>
    </row>
    <row r="162" spans="1:6">
      <c r="A162" s="3"/>
      <c r="B162" s="3"/>
      <c r="C162" s="3"/>
      <c r="F162" s="5"/>
    </row>
    <row r="163" spans="1:6">
      <c r="A163" s="3"/>
      <c r="B163" s="3"/>
      <c r="C163" s="3"/>
      <c r="F163" s="5"/>
    </row>
    <row r="164" spans="1:6">
      <c r="A164" s="3"/>
      <c r="B164" s="3"/>
      <c r="C164" s="3"/>
      <c r="F164" s="5"/>
    </row>
    <row r="165" spans="1:6">
      <c r="A165" s="3"/>
      <c r="B165" s="3"/>
      <c r="C165" s="3"/>
      <c r="F165" s="5"/>
    </row>
    <row r="166" spans="1:6">
      <c r="A166" s="3"/>
      <c r="B166" s="3"/>
      <c r="C166" s="3"/>
      <c r="F166" s="5"/>
    </row>
    <row r="167" spans="1:6">
      <c r="A167" s="3"/>
      <c r="B167" s="3"/>
      <c r="C167" s="3"/>
      <c r="F167" s="5"/>
    </row>
    <row r="168" spans="1:6">
      <c r="A168" s="3"/>
      <c r="B168" s="3"/>
      <c r="C168" s="3"/>
      <c r="F168" s="5"/>
    </row>
    <row r="169" spans="1:6">
      <c r="A169" s="3"/>
      <c r="B169" s="3"/>
      <c r="C169" s="3"/>
      <c r="F169" s="5"/>
    </row>
    <row r="170" spans="1:6">
      <c r="A170" s="3"/>
      <c r="B170" s="3"/>
      <c r="C170" s="3"/>
      <c r="F170" s="5"/>
    </row>
    <row r="171" spans="1:6">
      <c r="A171" s="3"/>
      <c r="B171" s="3"/>
      <c r="C171" s="3"/>
      <c r="F171" s="5"/>
    </row>
    <row r="172" spans="1:6">
      <c r="A172" s="3"/>
      <c r="B172" s="3"/>
      <c r="C172" s="3"/>
      <c r="F172" s="5"/>
    </row>
    <row r="173" spans="1:6">
      <c r="A173" s="3"/>
      <c r="B173" s="3"/>
      <c r="C173" s="3"/>
      <c r="F173" s="5"/>
    </row>
    <row r="174" spans="1:6">
      <c r="A174" s="3"/>
      <c r="B174" s="3"/>
      <c r="C174" s="3"/>
      <c r="F174" s="5"/>
    </row>
    <row r="175" spans="1:6">
      <c r="A175" s="3"/>
      <c r="B175" s="3"/>
      <c r="C175" s="3"/>
      <c r="F175" s="5"/>
    </row>
    <row r="176" spans="1:6">
      <c r="A176" s="3"/>
      <c r="B176" s="3"/>
      <c r="C176" s="3"/>
      <c r="F176" s="5"/>
    </row>
    <row r="177" spans="1:6">
      <c r="A177" s="3"/>
      <c r="B177" s="3"/>
      <c r="C177" s="3"/>
      <c r="F177" s="5"/>
    </row>
    <row r="178" spans="1:6">
      <c r="A178" s="3"/>
      <c r="B178" s="3"/>
      <c r="C178" s="3"/>
      <c r="F178" s="5"/>
    </row>
    <row r="179" spans="1:6">
      <c r="A179" s="3"/>
      <c r="B179" s="3"/>
      <c r="C179" s="3"/>
      <c r="F179" s="5"/>
    </row>
    <row r="180" spans="1:6">
      <c r="A180" s="3"/>
      <c r="B180" s="3"/>
      <c r="C180" s="3"/>
      <c r="F180" s="5"/>
    </row>
    <row r="181" spans="1:6">
      <c r="A181" s="3"/>
      <c r="B181" s="3"/>
      <c r="C181" s="3"/>
      <c r="F181" s="5"/>
    </row>
    <row r="182" spans="1:6">
      <c r="A182" s="3"/>
      <c r="B182" s="3"/>
      <c r="C182" s="3"/>
      <c r="F182" s="5"/>
    </row>
    <row r="183" spans="1:6">
      <c r="A183" s="3"/>
      <c r="B183" s="3"/>
      <c r="C183" s="3"/>
      <c r="F183" s="5"/>
    </row>
    <row r="184" spans="1:6">
      <c r="A184" s="3"/>
      <c r="B184" s="3"/>
      <c r="C184" s="3"/>
      <c r="F184" s="5"/>
    </row>
    <row r="185" spans="1:6">
      <c r="A185" s="3"/>
      <c r="B185" s="3"/>
      <c r="C185" s="3"/>
      <c r="F185" s="5"/>
    </row>
    <row r="186" spans="1:6">
      <c r="A186" s="3"/>
      <c r="B186" s="3"/>
      <c r="C186" s="3"/>
      <c r="F186" s="5"/>
    </row>
    <row r="187" spans="1:6">
      <c r="A187" s="3"/>
      <c r="B187" s="3"/>
      <c r="C187" s="3"/>
      <c r="F187" s="5"/>
    </row>
    <row r="188" spans="1:6">
      <c r="A188" s="3"/>
      <c r="B188" s="3"/>
      <c r="C188" s="3"/>
      <c r="F188" s="5"/>
    </row>
    <row r="189" spans="1:6">
      <c r="A189" s="3"/>
      <c r="B189" s="3"/>
      <c r="C189" s="3"/>
      <c r="F189" s="5"/>
    </row>
    <row r="190" spans="1:6">
      <c r="A190" s="3"/>
      <c r="B190" s="3"/>
      <c r="C190" s="3"/>
      <c r="F190" s="5"/>
    </row>
    <row r="191" spans="1:6">
      <c r="A191" s="3"/>
      <c r="B191" s="3"/>
      <c r="C191" s="3"/>
      <c r="F191" s="5"/>
    </row>
    <row r="192" spans="1:6">
      <c r="A192" s="3"/>
      <c r="B192" s="3"/>
      <c r="C192" s="3"/>
      <c r="F192" s="5"/>
    </row>
    <row r="193" spans="1:6">
      <c r="A193" s="3"/>
      <c r="B193" s="3"/>
      <c r="C193" s="3"/>
      <c r="F193" s="5"/>
    </row>
    <row r="194" spans="1:6">
      <c r="A194" s="3"/>
      <c r="B194" s="3"/>
      <c r="C194" s="3"/>
      <c r="F194" s="5"/>
    </row>
    <row r="195" spans="1:6">
      <c r="A195" s="3"/>
      <c r="B195" s="3"/>
      <c r="C195" s="3"/>
      <c r="F195" s="5"/>
    </row>
    <row r="196" spans="1:6">
      <c r="A196" s="3"/>
      <c r="B196" s="3"/>
      <c r="C196" s="3"/>
      <c r="F196" s="5"/>
    </row>
    <row r="197" spans="1:6">
      <c r="A197" s="3"/>
      <c r="B197" s="3"/>
      <c r="C197" s="3"/>
      <c r="F197" s="5"/>
    </row>
    <row r="198" spans="1:6">
      <c r="A198" s="3"/>
      <c r="B198" s="3"/>
      <c r="C198" s="3"/>
      <c r="F198" s="5"/>
    </row>
    <row r="199" spans="1:6">
      <c r="A199" s="3"/>
      <c r="B199" s="3"/>
      <c r="C199" s="3"/>
      <c r="F199" s="5"/>
    </row>
    <row r="200" spans="1:6">
      <c r="A200" s="3"/>
      <c r="B200" s="3"/>
      <c r="C200" s="3"/>
      <c r="F200" s="5"/>
    </row>
    <row r="201" spans="1:6">
      <c r="A201" s="3"/>
      <c r="B201" s="3"/>
      <c r="C201" s="3"/>
      <c r="F201" s="5"/>
    </row>
    <row r="202" spans="1:6">
      <c r="A202" s="3"/>
      <c r="B202" s="3"/>
      <c r="C202" s="3"/>
      <c r="F202" s="5"/>
    </row>
    <row r="203" spans="1:6">
      <c r="A203" s="3"/>
      <c r="B203" s="3"/>
      <c r="C203" s="3"/>
      <c r="F203" s="5"/>
    </row>
    <row r="204" spans="1:6">
      <c r="A204" s="3"/>
      <c r="B204" s="3"/>
      <c r="C204" s="3"/>
      <c r="F204" s="5"/>
    </row>
    <row r="205" spans="1:6">
      <c r="A205" s="3"/>
      <c r="B205" s="3"/>
      <c r="C205" s="3"/>
      <c r="F205" s="5"/>
    </row>
    <row r="206" spans="1:6">
      <c r="A206" s="3"/>
      <c r="B206" s="3"/>
      <c r="C206" s="3"/>
      <c r="F206" s="5"/>
    </row>
    <row r="207" spans="1:6">
      <c r="A207" s="3"/>
      <c r="B207" s="3"/>
      <c r="C207" s="3"/>
      <c r="F207" s="5"/>
    </row>
    <row r="208" spans="1:6">
      <c r="A208" s="3"/>
      <c r="B208" s="3"/>
      <c r="C208" s="3"/>
      <c r="F208" s="5"/>
    </row>
    <row r="209" spans="1:6">
      <c r="A209" s="3"/>
      <c r="B209" s="3"/>
      <c r="C209" s="3"/>
      <c r="F209" s="5"/>
    </row>
    <row r="210" spans="1:6">
      <c r="A210" s="3"/>
      <c r="B210" s="3"/>
      <c r="C210" s="3"/>
      <c r="F210" s="5"/>
    </row>
    <row r="211" spans="1:6">
      <c r="A211" s="3"/>
      <c r="B211" s="3"/>
      <c r="C211" s="3"/>
      <c r="F211" s="5"/>
    </row>
    <row r="212" spans="1:6">
      <c r="A212" s="3"/>
      <c r="B212" s="3"/>
      <c r="C212" s="3"/>
      <c r="F212" s="5"/>
    </row>
    <row r="213" spans="1:6">
      <c r="A213" s="3"/>
      <c r="B213" s="3"/>
      <c r="C213" s="3"/>
      <c r="F213" s="5"/>
    </row>
    <row r="214" spans="1:6">
      <c r="A214" s="3"/>
      <c r="B214" s="3"/>
      <c r="C214" s="3"/>
      <c r="F214" s="5"/>
    </row>
    <row r="215" spans="1:6">
      <c r="A215" s="3"/>
      <c r="B215" s="3"/>
      <c r="C215" s="3"/>
      <c r="F215" s="5"/>
    </row>
    <row r="216" spans="1:6">
      <c r="A216" s="3"/>
      <c r="B216" s="3"/>
      <c r="C216" s="3"/>
      <c r="F216" s="5"/>
    </row>
    <row r="217" spans="1:6">
      <c r="A217" s="3"/>
      <c r="B217" s="3"/>
      <c r="C217" s="3"/>
      <c r="F217" s="5"/>
    </row>
    <row r="218" spans="1:6">
      <c r="A218" s="3"/>
      <c r="B218" s="3"/>
      <c r="C218" s="3"/>
      <c r="F218" s="5"/>
    </row>
    <row r="219" spans="1:6">
      <c r="A219" s="3"/>
      <c r="B219" s="3"/>
      <c r="C219" s="3"/>
      <c r="F219" s="5"/>
    </row>
    <row r="220" spans="1:6">
      <c r="A220" s="3"/>
      <c r="B220" s="3"/>
      <c r="C220" s="3"/>
      <c r="F220" s="5"/>
    </row>
    <row r="221" spans="1:6">
      <c r="A221" s="3"/>
      <c r="B221" s="3"/>
      <c r="C221" s="3"/>
      <c r="F221" s="5"/>
    </row>
    <row r="222" spans="1:6">
      <c r="A222" s="3"/>
      <c r="B222" s="3"/>
      <c r="C222" s="3"/>
      <c r="F222" s="5"/>
    </row>
    <row r="223" spans="1:6">
      <c r="A223" s="3"/>
      <c r="B223" s="3"/>
      <c r="C223" s="3"/>
      <c r="F223" s="5"/>
    </row>
    <row r="224" spans="1:6">
      <c r="A224" s="3"/>
      <c r="B224" s="3"/>
      <c r="C224" s="3"/>
      <c r="F224" s="5"/>
    </row>
    <row r="225" spans="1:6">
      <c r="A225" s="3"/>
      <c r="B225" s="3"/>
      <c r="C225" s="3"/>
      <c r="F225" s="5"/>
    </row>
    <row r="226" spans="1:6">
      <c r="A226" s="3"/>
      <c r="B226" s="3"/>
      <c r="C226" s="3"/>
      <c r="F226" s="5"/>
    </row>
    <row r="227" spans="1:6">
      <c r="A227" s="3"/>
      <c r="B227" s="3"/>
      <c r="C227" s="3"/>
      <c r="F227" s="5"/>
    </row>
    <row r="228" spans="1:6">
      <c r="A228" s="3"/>
      <c r="B228" s="3"/>
      <c r="C228" s="3"/>
      <c r="F228" s="5"/>
    </row>
    <row r="229" spans="1:6">
      <c r="A229" s="3"/>
      <c r="B229" s="3"/>
      <c r="C229" s="3"/>
      <c r="F229" s="5"/>
    </row>
    <row r="230" spans="1:6">
      <c r="A230" s="3"/>
      <c r="B230" s="3"/>
      <c r="C230" s="3"/>
      <c r="F230" s="5"/>
    </row>
    <row r="231" spans="1:6">
      <c r="A231" s="3"/>
      <c r="B231" s="3"/>
      <c r="C231" s="3"/>
      <c r="F231" s="5"/>
    </row>
    <row r="232" spans="1:6">
      <c r="A232" s="3"/>
      <c r="B232" s="3"/>
      <c r="C232" s="3"/>
      <c r="F232" s="5"/>
    </row>
    <row r="233" spans="1:6">
      <c r="A233" s="3"/>
      <c r="B233" s="3"/>
      <c r="C233" s="3"/>
      <c r="F233" s="5"/>
    </row>
    <row r="234" spans="1:6">
      <c r="A234" s="3"/>
      <c r="B234" s="3"/>
      <c r="C234" s="3"/>
      <c r="F234" s="5"/>
    </row>
    <row r="235" spans="1:6">
      <c r="A235" s="3"/>
      <c r="B235" s="3"/>
      <c r="C235" s="3"/>
      <c r="F235" s="5"/>
    </row>
    <row r="236" spans="1:6">
      <c r="A236" s="3"/>
      <c r="B236" s="3"/>
      <c r="C236" s="3"/>
      <c r="F236" s="5"/>
    </row>
    <row r="237" spans="1:6">
      <c r="A237" s="3"/>
      <c r="B237" s="3"/>
      <c r="C237" s="3"/>
      <c r="F237" s="5"/>
    </row>
    <row r="238" spans="1:6">
      <c r="A238" s="3"/>
      <c r="B238" s="3"/>
      <c r="C238" s="3"/>
      <c r="F238" s="5"/>
    </row>
    <row r="239" spans="1:6">
      <c r="A239" s="3"/>
      <c r="B239" s="3"/>
      <c r="C239" s="3"/>
      <c r="F239" s="5"/>
    </row>
    <row r="240" spans="1:6">
      <c r="A240" s="3"/>
      <c r="B240" s="3"/>
      <c r="C240" s="3"/>
      <c r="F240" s="5"/>
    </row>
    <row r="241" spans="1:6">
      <c r="A241" s="3"/>
      <c r="B241" s="3"/>
      <c r="C241" s="3"/>
      <c r="F241" s="5"/>
    </row>
    <row r="242" spans="1:6">
      <c r="A242" s="3"/>
      <c r="B242" s="3"/>
      <c r="C242" s="3"/>
      <c r="F242" s="5"/>
    </row>
    <row r="243" spans="1:6">
      <c r="A243" s="3"/>
      <c r="B243" s="3"/>
      <c r="C243" s="3"/>
      <c r="F243" s="5"/>
    </row>
    <row r="244" spans="1:6">
      <c r="A244" s="3"/>
      <c r="B244" s="3"/>
      <c r="C244" s="3"/>
      <c r="F244" s="5"/>
    </row>
    <row r="245" spans="1:6">
      <c r="A245" s="3"/>
      <c r="B245" s="3"/>
      <c r="C245" s="3"/>
      <c r="F245" s="5"/>
    </row>
    <row r="246" spans="1:6">
      <c r="A246" s="3"/>
      <c r="B246" s="3"/>
      <c r="C246" s="3"/>
      <c r="F246" s="5"/>
    </row>
    <row r="247" spans="1:6">
      <c r="A247" s="3"/>
      <c r="B247" s="3"/>
      <c r="C247" s="3"/>
      <c r="F247" s="5"/>
    </row>
    <row r="248" spans="1:6">
      <c r="A248" s="3"/>
      <c r="B248" s="3"/>
      <c r="C248" s="3"/>
      <c r="F248" s="5"/>
    </row>
    <row r="249" spans="1:6">
      <c r="A249" s="3"/>
      <c r="B249" s="3"/>
      <c r="C249" s="3"/>
      <c r="F249" s="5"/>
    </row>
    <row r="250" spans="1:6">
      <c r="A250" s="3"/>
      <c r="B250" s="3"/>
      <c r="C250" s="3"/>
      <c r="F250" s="5"/>
    </row>
    <row r="251" spans="1:6">
      <c r="A251" s="3"/>
      <c r="B251" s="3"/>
      <c r="C251" s="3"/>
      <c r="F251" s="5"/>
    </row>
    <row r="252" spans="1:6">
      <c r="A252" s="3"/>
      <c r="B252" s="3"/>
      <c r="C252" s="3"/>
      <c r="F252" s="5"/>
    </row>
    <row r="253" spans="1:6">
      <c r="A253" s="3"/>
      <c r="B253" s="3"/>
      <c r="C253" s="3"/>
      <c r="F253" s="5"/>
    </row>
    <row r="254" spans="1:6">
      <c r="A254" s="3"/>
      <c r="B254" s="3"/>
      <c r="C254" s="3"/>
      <c r="F254" s="5"/>
    </row>
    <row r="255" spans="1:6">
      <c r="A255" s="3"/>
      <c r="B255" s="3"/>
      <c r="C255" s="3"/>
      <c r="F255" s="5"/>
    </row>
    <row r="256" spans="1:6">
      <c r="A256" s="3"/>
      <c r="B256" s="3"/>
      <c r="C256" s="3"/>
      <c r="F256" s="5"/>
    </row>
    <row r="257" spans="1:6">
      <c r="A257" s="3"/>
      <c r="B257" s="3"/>
      <c r="C257" s="3"/>
      <c r="F257" s="5"/>
    </row>
    <row r="258" spans="1:6">
      <c r="A258" s="3"/>
      <c r="B258" s="3"/>
      <c r="C258" s="3"/>
      <c r="F258" s="5"/>
    </row>
    <row r="259" spans="1:6">
      <c r="A259" s="3"/>
      <c r="B259" s="3"/>
      <c r="C259" s="3"/>
      <c r="F259" s="5"/>
    </row>
    <row r="260" spans="1:6">
      <c r="A260" s="3"/>
      <c r="B260" s="3"/>
      <c r="C260" s="3"/>
      <c r="F260" s="5"/>
    </row>
    <row r="261" spans="1:6">
      <c r="A261" s="3"/>
      <c r="B261" s="3"/>
      <c r="C261" s="3"/>
      <c r="F261" s="5"/>
    </row>
    <row r="262" spans="1:6">
      <c r="A262" s="3"/>
      <c r="B262" s="3"/>
      <c r="C262" s="3"/>
      <c r="F262" s="5"/>
    </row>
    <row r="263" spans="1:6">
      <c r="A263" s="3"/>
      <c r="B263" s="3"/>
      <c r="C263" s="3"/>
      <c r="F263" s="5"/>
    </row>
    <row r="264" spans="1:6">
      <c r="A264" s="3"/>
      <c r="B264" s="3"/>
      <c r="C264" s="3"/>
      <c r="F264" s="5"/>
    </row>
    <row r="265" spans="1:6">
      <c r="A265" s="3"/>
      <c r="B265" s="3"/>
      <c r="C265" s="3"/>
      <c r="F265" s="5"/>
    </row>
    <row r="266" spans="1:6">
      <c r="A266" s="3"/>
      <c r="B266" s="3"/>
      <c r="C266" s="3"/>
      <c r="F266" s="5"/>
    </row>
    <row r="267" spans="1:6">
      <c r="A267" s="3"/>
      <c r="B267" s="3"/>
      <c r="C267" s="3"/>
      <c r="F267" s="5"/>
    </row>
    <row r="268" spans="1:6">
      <c r="A268" s="3"/>
      <c r="B268" s="3"/>
      <c r="C268" s="3"/>
      <c r="F268" s="5"/>
    </row>
    <row r="269" spans="1:6">
      <c r="A269" s="3"/>
      <c r="B269" s="3"/>
      <c r="C269" s="3"/>
      <c r="F269" s="5"/>
    </row>
    <row r="270" spans="1:6">
      <c r="A270" s="3"/>
      <c r="B270" s="3"/>
      <c r="C270" s="3"/>
      <c r="F270" s="5"/>
    </row>
    <row r="271" spans="1:6">
      <c r="A271" s="3"/>
      <c r="B271" s="3"/>
      <c r="C271" s="3"/>
      <c r="F271" s="5"/>
    </row>
    <row r="272" spans="1:6">
      <c r="A272" s="3"/>
      <c r="B272" s="3"/>
      <c r="C272" s="3"/>
      <c r="F272" s="5"/>
    </row>
    <row r="273" spans="1:6">
      <c r="A273" s="3"/>
      <c r="B273" s="3"/>
      <c r="C273" s="3"/>
      <c r="F273" s="5"/>
    </row>
    <row r="274" spans="1:6">
      <c r="A274" s="3"/>
      <c r="B274" s="3"/>
      <c r="C274" s="3"/>
      <c r="F274" s="5"/>
    </row>
    <row r="275" spans="1:6">
      <c r="A275" s="3"/>
      <c r="B275" s="3"/>
      <c r="C275" s="3"/>
      <c r="F275" s="5"/>
    </row>
    <row r="276" spans="1:6">
      <c r="A276" s="3"/>
      <c r="B276" s="3"/>
      <c r="C276" s="3"/>
      <c r="F276" s="5"/>
    </row>
    <row r="277" spans="1:6">
      <c r="A277" s="3"/>
      <c r="B277" s="3"/>
      <c r="C277" s="3"/>
      <c r="F277" s="5"/>
    </row>
    <row r="278" spans="1:6">
      <c r="A278" s="3"/>
      <c r="B278" s="3"/>
      <c r="C278" s="3"/>
      <c r="F278" s="5"/>
    </row>
    <row r="279" spans="1:6">
      <c r="A279" s="3"/>
      <c r="B279" s="3"/>
      <c r="C279" s="3"/>
      <c r="F279" s="5"/>
    </row>
    <row r="280" spans="1:6">
      <c r="A280" s="3"/>
      <c r="B280" s="3"/>
      <c r="C280" s="3"/>
      <c r="F280" s="5"/>
    </row>
    <row r="281" spans="1:6">
      <c r="A281" s="3"/>
      <c r="B281" s="3"/>
      <c r="C281" s="3"/>
      <c r="F281" s="5"/>
    </row>
    <row r="282" spans="1:6">
      <c r="A282" s="3"/>
      <c r="B282" s="3"/>
      <c r="C282" s="3"/>
      <c r="F282" s="5"/>
    </row>
    <row r="283" spans="1:6">
      <c r="A283" s="3"/>
      <c r="B283" s="3"/>
      <c r="C283" s="3"/>
      <c r="F283" s="5"/>
    </row>
    <row r="284" spans="1:6">
      <c r="A284" s="3"/>
      <c r="B284" s="3"/>
      <c r="C284" s="3"/>
      <c r="F284" s="5"/>
    </row>
    <row r="285" spans="1:6">
      <c r="A285" s="3"/>
      <c r="B285" s="3"/>
      <c r="C285" s="3"/>
      <c r="F285" s="5"/>
    </row>
    <row r="286" spans="1:6">
      <c r="A286" s="3"/>
      <c r="B286" s="3"/>
      <c r="C286" s="3"/>
      <c r="F286" s="5"/>
    </row>
    <row r="287" spans="1:6">
      <c r="A287" s="3"/>
      <c r="B287" s="3"/>
      <c r="C287" s="3"/>
      <c r="F287" s="5"/>
    </row>
    <row r="288" spans="1:6">
      <c r="A288" s="3"/>
      <c r="B288" s="3"/>
      <c r="C288" s="3"/>
      <c r="F288" s="5"/>
    </row>
    <row r="289" spans="1:6">
      <c r="A289" s="3"/>
      <c r="B289" s="3"/>
      <c r="C289" s="3"/>
      <c r="F289" s="5"/>
    </row>
    <row r="290" spans="1:6">
      <c r="A290" s="3"/>
      <c r="B290" s="3"/>
      <c r="C290" s="3"/>
      <c r="F290" s="5"/>
    </row>
    <row r="291" spans="1:6">
      <c r="A291" s="3"/>
      <c r="B291" s="3"/>
      <c r="C291" s="3"/>
      <c r="F291" s="5"/>
    </row>
    <row r="292" spans="1:6">
      <c r="A292" s="3"/>
      <c r="B292" s="3"/>
      <c r="C292" s="3"/>
      <c r="F292" s="5"/>
    </row>
    <row r="293" spans="1:6">
      <c r="A293" s="3"/>
      <c r="B293" s="3"/>
      <c r="C293" s="3"/>
      <c r="F293" s="5"/>
    </row>
    <row r="294" spans="1:6">
      <c r="A294" s="3"/>
      <c r="B294" s="3"/>
      <c r="C294" s="3"/>
      <c r="F294" s="5"/>
    </row>
    <row r="295" spans="1:6">
      <c r="A295" s="3"/>
      <c r="B295" s="3"/>
      <c r="C295" s="3"/>
      <c r="F295" s="5"/>
    </row>
    <row r="296" spans="1:6">
      <c r="A296" s="3"/>
      <c r="B296" s="3"/>
      <c r="C296" s="3"/>
      <c r="F296" s="5"/>
    </row>
    <row r="297" spans="1:6">
      <c r="A297" s="3"/>
      <c r="B297" s="3"/>
      <c r="C297" s="3"/>
      <c r="F297" s="5"/>
    </row>
    <row r="298" spans="1:6">
      <c r="A298" s="3"/>
      <c r="B298" s="3"/>
      <c r="C298" s="3"/>
      <c r="F298" s="5"/>
    </row>
    <row r="299" spans="1:6">
      <c r="A299" s="3"/>
      <c r="B299" s="3"/>
      <c r="C299" s="3"/>
      <c r="F299" s="5"/>
    </row>
    <row r="300" spans="1:6">
      <c r="A300" s="3"/>
      <c r="B300" s="3"/>
      <c r="C300" s="3"/>
      <c r="F300" s="5"/>
    </row>
    <row r="301" spans="1:6">
      <c r="A301" s="3"/>
      <c r="B301" s="3"/>
      <c r="C301" s="3"/>
      <c r="F301" s="5"/>
    </row>
    <row r="302" spans="1:6">
      <c r="A302" s="3"/>
      <c r="B302" s="3"/>
      <c r="C302" s="3"/>
      <c r="F302" s="5"/>
    </row>
    <row r="303" spans="1:6">
      <c r="A303" s="3"/>
      <c r="B303" s="3"/>
      <c r="C303" s="3"/>
      <c r="F303" s="5"/>
    </row>
    <row r="304" spans="1:6">
      <c r="A304" s="3"/>
      <c r="B304" s="3"/>
      <c r="C304" s="3"/>
      <c r="F304" s="5"/>
    </row>
    <row r="305" spans="1:6">
      <c r="A305" s="3"/>
      <c r="B305" s="3"/>
      <c r="C305" s="3"/>
      <c r="F305" s="5"/>
    </row>
    <row r="306" spans="1:6">
      <c r="A306" s="3"/>
      <c r="B306" s="3"/>
      <c r="C306" s="3"/>
      <c r="F306" s="5"/>
    </row>
    <row r="307" spans="1:6">
      <c r="A307" s="3"/>
      <c r="B307" s="3"/>
      <c r="C307" s="3"/>
      <c r="F307" s="5"/>
    </row>
    <row r="308" spans="1:6">
      <c r="A308" s="3"/>
      <c r="B308" s="3"/>
      <c r="C308" s="3"/>
      <c r="F308" s="5"/>
    </row>
    <row r="309" spans="1:6">
      <c r="A309" s="3"/>
      <c r="B309" s="3"/>
      <c r="C309" s="3"/>
      <c r="F309" s="5"/>
    </row>
    <row r="310" spans="1:6">
      <c r="A310" s="3"/>
      <c r="B310" s="3"/>
      <c r="C310" s="3"/>
      <c r="F310" s="5"/>
    </row>
    <row r="311" spans="1:6">
      <c r="A311" s="3"/>
      <c r="B311" s="3"/>
      <c r="C311" s="3"/>
      <c r="F311" s="5"/>
    </row>
    <row r="312" spans="1:6">
      <c r="A312" s="3"/>
      <c r="B312" s="3"/>
      <c r="C312" s="3"/>
      <c r="F312" s="5"/>
    </row>
    <row r="313" spans="1:6">
      <c r="A313" s="3"/>
      <c r="B313" s="3"/>
      <c r="C313" s="3"/>
      <c r="F313" s="5"/>
    </row>
    <row r="314" spans="1:6">
      <c r="A314" s="3"/>
      <c r="B314" s="3"/>
      <c r="C314" s="3"/>
      <c r="F314" s="5"/>
    </row>
    <row r="315" spans="1:6">
      <c r="A315" s="3"/>
      <c r="B315" s="3"/>
      <c r="C315" s="3"/>
      <c r="F315" s="5"/>
    </row>
    <row r="316" spans="1:6">
      <c r="A316" s="3"/>
      <c r="B316" s="3"/>
      <c r="C316" s="3"/>
      <c r="F316" s="5"/>
    </row>
    <row r="317" spans="1:6">
      <c r="A317" s="3"/>
      <c r="B317" s="3"/>
      <c r="C317" s="3"/>
      <c r="F317" s="5"/>
    </row>
    <row r="318" spans="1:6">
      <c r="A318" s="3"/>
      <c r="B318" s="3"/>
      <c r="C318" s="3"/>
      <c r="F318" s="5"/>
    </row>
    <row r="319" spans="1:6">
      <c r="A319" s="3"/>
      <c r="B319" s="3"/>
      <c r="C319" s="3"/>
      <c r="F319" s="5"/>
    </row>
    <row r="320" spans="1:6">
      <c r="A320" s="3"/>
      <c r="B320" s="3"/>
      <c r="C320" s="3"/>
      <c r="F320" s="5"/>
    </row>
    <row r="321" spans="1:6">
      <c r="A321" s="3"/>
      <c r="B321" s="3"/>
      <c r="C321" s="3"/>
      <c r="F321" s="5"/>
    </row>
    <row r="322" spans="1:6">
      <c r="A322" s="3"/>
      <c r="B322" s="3"/>
      <c r="C322" s="3"/>
      <c r="F322" s="5"/>
    </row>
    <row r="323" spans="1:6">
      <c r="A323" s="3"/>
      <c r="B323" s="3"/>
      <c r="C323" s="3"/>
      <c r="F323" s="5"/>
    </row>
    <row r="324" spans="1:6">
      <c r="A324" s="3"/>
      <c r="B324" s="3"/>
      <c r="C324" s="3"/>
      <c r="F324" s="5"/>
    </row>
    <row r="325" spans="1:6">
      <c r="A325" s="3"/>
      <c r="B325" s="3"/>
      <c r="C325" s="3"/>
      <c r="F325" s="5"/>
    </row>
    <row r="326" spans="1:6">
      <c r="A326" s="3"/>
      <c r="B326" s="3"/>
      <c r="C326" s="3"/>
      <c r="F326" s="5"/>
    </row>
    <row r="327" spans="1:6">
      <c r="A327" s="3"/>
      <c r="B327" s="3"/>
      <c r="C327" s="3"/>
      <c r="F327" s="5"/>
    </row>
    <row r="328" spans="1:6">
      <c r="A328" s="3"/>
      <c r="B328" s="3"/>
      <c r="C328" s="3"/>
      <c r="F328" s="5"/>
    </row>
    <row r="329" spans="1:6">
      <c r="A329" s="3"/>
      <c r="B329" s="3"/>
      <c r="C329" s="3"/>
      <c r="F329" s="5"/>
    </row>
    <row r="330" spans="1:6">
      <c r="A330" s="3"/>
      <c r="B330" s="3"/>
      <c r="C330" s="3"/>
      <c r="F330" s="5"/>
    </row>
    <row r="331" spans="1:6">
      <c r="A331" s="3"/>
      <c r="B331" s="3"/>
      <c r="C331" s="3"/>
      <c r="F331" s="5"/>
    </row>
    <row r="332" spans="1:6">
      <c r="A332" s="3"/>
      <c r="B332" s="3"/>
      <c r="C332" s="3"/>
      <c r="F332" s="5"/>
    </row>
    <row r="333" spans="1:6">
      <c r="A333" s="3"/>
      <c r="B333" s="3"/>
      <c r="C333" s="3"/>
      <c r="F333" s="5"/>
    </row>
    <row r="334" spans="1:6">
      <c r="A334" s="3"/>
      <c r="B334" s="3"/>
      <c r="C334" s="3"/>
      <c r="F334" s="5"/>
    </row>
    <row r="335" spans="1:6">
      <c r="A335" s="3"/>
      <c r="B335" s="3"/>
      <c r="C335" s="3"/>
      <c r="F335" s="5"/>
    </row>
    <row r="336" spans="1:6">
      <c r="A336" s="3"/>
      <c r="B336" s="3"/>
      <c r="C336" s="3"/>
      <c r="F336" s="5"/>
    </row>
    <row r="337" spans="1:6">
      <c r="A337" s="3"/>
      <c r="B337" s="3"/>
      <c r="C337" s="3"/>
      <c r="F337" s="5"/>
    </row>
    <row r="338" spans="1:6">
      <c r="A338" s="3"/>
      <c r="B338" s="3"/>
      <c r="C338" s="3"/>
      <c r="F338" s="5"/>
    </row>
    <row r="339" spans="1:6">
      <c r="A339" s="3"/>
      <c r="B339" s="3"/>
      <c r="C339" s="3"/>
      <c r="F339" s="5"/>
    </row>
    <row r="340" spans="1:6">
      <c r="A340" s="3"/>
      <c r="B340" s="3"/>
      <c r="C340" s="3"/>
      <c r="F340" s="5"/>
    </row>
    <row r="341" spans="1:6">
      <c r="A341" s="3"/>
      <c r="B341" s="3"/>
      <c r="C341" s="3"/>
      <c r="F341" s="5"/>
    </row>
    <row r="342" spans="1:6">
      <c r="A342" s="3"/>
      <c r="B342" s="3"/>
      <c r="C342" s="3"/>
      <c r="F342" s="5"/>
    </row>
    <row r="343" spans="1:6">
      <c r="A343" s="3"/>
      <c r="B343" s="3"/>
      <c r="C343" s="3"/>
      <c r="F343" s="5"/>
    </row>
    <row r="344" spans="1:6">
      <c r="A344" s="3"/>
      <c r="B344" s="3"/>
      <c r="C344" s="3"/>
      <c r="F344" s="5"/>
    </row>
    <row r="345" spans="1:6">
      <c r="A345" s="3"/>
      <c r="B345" s="3"/>
      <c r="C345" s="3"/>
      <c r="F345" s="5"/>
    </row>
    <row r="346" spans="1:6">
      <c r="A346" s="3"/>
      <c r="B346" s="3"/>
      <c r="C346" s="3"/>
      <c r="F346" s="5"/>
    </row>
    <row r="347" spans="1:6">
      <c r="A347" s="3"/>
      <c r="B347" s="3"/>
      <c r="C347" s="3"/>
      <c r="F347" s="5"/>
    </row>
    <row r="348" spans="1:6">
      <c r="A348" s="3"/>
      <c r="B348" s="3"/>
      <c r="C348" s="3"/>
      <c r="F348" s="5"/>
    </row>
    <row r="349" spans="1:6">
      <c r="A349" s="3"/>
      <c r="B349" s="3"/>
      <c r="C349" s="3"/>
      <c r="F349" s="5"/>
    </row>
    <row r="350" spans="1:6">
      <c r="A350" s="3"/>
      <c r="B350" s="3"/>
      <c r="C350" s="3"/>
      <c r="F350" s="5"/>
    </row>
    <row r="351" spans="1:6">
      <c r="A351" s="3"/>
      <c r="B351" s="3"/>
      <c r="C351" s="3"/>
      <c r="F351" s="5"/>
    </row>
    <row r="352" spans="1:6">
      <c r="A352" s="3"/>
      <c r="B352" s="3"/>
      <c r="C352" s="3"/>
      <c r="F352" s="5"/>
    </row>
    <row r="353" spans="1:6">
      <c r="A353" s="3"/>
      <c r="B353" s="3"/>
      <c r="C353" s="3"/>
      <c r="F353" s="5"/>
    </row>
    <row r="354" spans="1:6">
      <c r="A354" s="3"/>
      <c r="B354" s="3"/>
      <c r="C354" s="3"/>
      <c r="F354" s="5"/>
    </row>
    <row r="355" spans="1:6">
      <c r="A355" s="3"/>
      <c r="B355" s="3"/>
      <c r="C355" s="3"/>
      <c r="F355" s="5"/>
    </row>
    <row r="356" spans="1:6">
      <c r="A356" s="3"/>
      <c r="B356" s="3"/>
      <c r="C356" s="3"/>
      <c r="F356" s="5"/>
    </row>
    <row r="357" spans="1:6">
      <c r="A357" s="3"/>
      <c r="B357" s="3"/>
      <c r="C357" s="3"/>
      <c r="F357" s="5"/>
    </row>
    <row r="358" spans="1:6">
      <c r="A358" s="3"/>
      <c r="B358" s="3"/>
      <c r="C358" s="3"/>
      <c r="F358" s="5"/>
    </row>
    <row r="359" spans="1:6">
      <c r="A359" s="3"/>
      <c r="B359" s="3"/>
      <c r="C359" s="3"/>
      <c r="F359" s="5"/>
    </row>
    <row r="360" spans="1:6">
      <c r="A360" s="3"/>
      <c r="B360" s="3"/>
      <c r="C360" s="3"/>
      <c r="F360" s="5"/>
    </row>
    <row r="361" spans="1:6">
      <c r="A361" s="3"/>
      <c r="B361" s="3"/>
      <c r="C361" s="3"/>
      <c r="F361" s="5"/>
    </row>
    <row r="362" spans="1:6">
      <c r="A362" s="3"/>
      <c r="B362" s="3"/>
      <c r="C362" s="3"/>
      <c r="F362" s="5"/>
    </row>
    <row r="363" spans="1:6">
      <c r="A363" s="3"/>
      <c r="B363" s="3"/>
      <c r="C363" s="3"/>
      <c r="F363" s="5"/>
    </row>
    <row r="364" spans="1:6">
      <c r="A364" s="3"/>
      <c r="B364" s="3"/>
      <c r="C364" s="3"/>
      <c r="F364" s="5"/>
    </row>
    <row r="365" spans="1:6">
      <c r="A365" s="3"/>
      <c r="B365" s="3"/>
      <c r="C365" s="3"/>
      <c r="F365" s="5"/>
    </row>
    <row r="366" spans="1:6">
      <c r="A366" s="3"/>
      <c r="B366" s="3"/>
      <c r="C366" s="3"/>
      <c r="F366" s="5"/>
    </row>
    <row r="367" spans="1:6">
      <c r="A367" s="3"/>
      <c r="B367" s="3"/>
      <c r="C367" s="3"/>
      <c r="F367" s="5"/>
    </row>
    <row r="368" spans="1:6">
      <c r="A368" s="3"/>
      <c r="B368" s="3"/>
      <c r="C368" s="3"/>
      <c r="F368" s="5"/>
    </row>
    <row r="369" spans="1:6">
      <c r="A369" s="3"/>
      <c r="B369" s="3"/>
      <c r="C369" s="3"/>
      <c r="F369" s="5"/>
    </row>
    <row r="370" spans="1:6">
      <c r="A370" s="3"/>
      <c r="B370" s="3"/>
      <c r="C370" s="3"/>
      <c r="F370" s="5"/>
    </row>
    <row r="371" spans="1:6">
      <c r="A371" s="3"/>
      <c r="B371" s="3"/>
      <c r="C371" s="3"/>
      <c r="F371" s="5"/>
    </row>
    <row r="372" spans="1:6">
      <c r="A372" s="3"/>
      <c r="B372" s="3"/>
      <c r="C372" s="3"/>
      <c r="F372" s="5"/>
    </row>
    <row r="373" spans="1:6">
      <c r="A373" s="3"/>
      <c r="B373" s="3"/>
      <c r="C373" s="3"/>
      <c r="F373" s="5"/>
    </row>
    <row r="374" spans="1:6">
      <c r="A374" s="3"/>
      <c r="B374" s="3"/>
      <c r="C374" s="3"/>
      <c r="F374" s="5"/>
    </row>
    <row r="375" spans="1:6">
      <c r="A375" s="3"/>
      <c r="B375" s="3"/>
      <c r="C375" s="3"/>
      <c r="F375" s="5"/>
    </row>
    <row r="376" spans="1:6">
      <c r="A376" s="3"/>
      <c r="B376" s="3"/>
      <c r="C376" s="3"/>
      <c r="F376" s="5"/>
    </row>
    <row r="377" spans="1:6">
      <c r="A377" s="3"/>
      <c r="B377" s="3"/>
      <c r="C377" s="3"/>
      <c r="F377" s="5"/>
    </row>
    <row r="378" spans="1:6">
      <c r="A378" s="3"/>
      <c r="B378" s="3"/>
      <c r="C378" s="3"/>
      <c r="F378" s="5"/>
    </row>
    <row r="379" spans="1:6">
      <c r="A379" s="3"/>
      <c r="B379" s="3"/>
      <c r="C379" s="3"/>
      <c r="F379" s="5"/>
    </row>
    <row r="380" spans="1:6">
      <c r="A380" s="3"/>
      <c r="B380" s="3"/>
      <c r="C380" s="3"/>
      <c r="F380" s="5"/>
    </row>
    <row r="381" spans="1:6">
      <c r="A381" s="3"/>
      <c r="B381" s="3"/>
      <c r="C381" s="3"/>
      <c r="F381" s="5"/>
    </row>
    <row r="382" spans="1:6">
      <c r="A382" s="3"/>
      <c r="B382" s="3"/>
      <c r="C382" s="3"/>
      <c r="F382" s="5"/>
    </row>
    <row r="383" spans="1:6">
      <c r="A383" s="3"/>
      <c r="B383" s="3"/>
      <c r="C383" s="3"/>
      <c r="F383" s="5"/>
    </row>
    <row r="384" spans="1:6">
      <c r="A384" s="3"/>
      <c r="B384" s="3"/>
      <c r="C384" s="3"/>
      <c r="F384" s="5"/>
    </row>
    <row r="385" spans="1:6">
      <c r="A385" s="3"/>
      <c r="B385" s="3"/>
      <c r="C385" s="3"/>
      <c r="F385" s="5"/>
    </row>
    <row r="386" spans="1:6">
      <c r="A386" s="3"/>
      <c r="B386" s="3"/>
      <c r="C386" s="3"/>
      <c r="F386" s="5"/>
    </row>
    <row r="387" spans="1:6">
      <c r="A387" s="3"/>
      <c r="B387" s="3"/>
      <c r="C387" s="3"/>
      <c r="F387" s="5"/>
    </row>
    <row r="388" spans="1:6">
      <c r="A388" s="3"/>
      <c r="B388" s="3"/>
      <c r="C388" s="3"/>
      <c r="F388" s="5"/>
    </row>
    <row r="389" spans="1:6">
      <c r="A389" s="3"/>
      <c r="B389" s="3"/>
      <c r="C389" s="3"/>
      <c r="F389" s="5"/>
    </row>
    <row r="390" spans="1:6">
      <c r="A390" s="3"/>
      <c r="B390" s="3"/>
      <c r="C390" s="3"/>
      <c r="F390" s="5"/>
    </row>
    <row r="391" spans="1:6">
      <c r="A391" s="3"/>
      <c r="B391" s="3"/>
      <c r="C391" s="3"/>
      <c r="F391" s="5"/>
    </row>
    <row r="392" spans="1:6">
      <c r="A392" s="3"/>
      <c r="B392" s="3"/>
      <c r="C392" s="3"/>
      <c r="F392" s="5"/>
    </row>
    <row r="393" spans="1:6">
      <c r="A393" s="3"/>
      <c r="B393" s="3"/>
      <c r="C393" s="3"/>
      <c r="F393" s="5"/>
    </row>
    <row r="394" spans="1:6">
      <c r="A394" s="3"/>
      <c r="B394" s="3"/>
      <c r="C394" s="3"/>
      <c r="F394" s="5"/>
    </row>
    <row r="395" spans="1:6">
      <c r="A395" s="3"/>
      <c r="B395" s="3"/>
      <c r="C395" s="3"/>
      <c r="F395" s="5"/>
    </row>
    <row r="396" spans="1:6">
      <c r="A396" s="3"/>
      <c r="B396" s="3"/>
      <c r="C396" s="3"/>
      <c r="F396" s="5"/>
    </row>
    <row r="397" spans="1:6">
      <c r="A397" s="3"/>
      <c r="B397" s="3"/>
      <c r="C397" s="3"/>
      <c r="F397" s="5"/>
    </row>
    <row r="398" spans="1:6">
      <c r="A398" s="3"/>
      <c r="B398" s="3"/>
      <c r="C398" s="3"/>
      <c r="F398" s="5"/>
    </row>
    <row r="399" spans="1:6">
      <c r="A399" s="3"/>
      <c r="B399" s="3"/>
      <c r="C399" s="3"/>
      <c r="F399" s="5"/>
    </row>
    <row r="400" spans="1:6">
      <c r="A400" s="3"/>
      <c r="B400" s="3"/>
      <c r="C400" s="3"/>
      <c r="F400" s="5"/>
    </row>
    <row r="401" spans="1:6">
      <c r="A401" s="3"/>
      <c r="B401" s="3"/>
      <c r="C401" s="3"/>
      <c r="F401" s="5"/>
    </row>
    <row r="402" spans="1:6">
      <c r="A402" s="3"/>
      <c r="B402" s="3"/>
      <c r="C402" s="3"/>
      <c r="F402" s="5"/>
    </row>
    <row r="403" spans="1:6">
      <c r="A403" s="3"/>
      <c r="B403" s="3"/>
      <c r="C403" s="3"/>
      <c r="F403" s="5"/>
    </row>
    <row r="404" spans="1:6">
      <c r="A404" s="3"/>
      <c r="B404" s="3"/>
      <c r="C404" s="3"/>
      <c r="F404" s="5"/>
    </row>
    <row r="405" spans="1:6">
      <c r="A405" s="3"/>
      <c r="B405" s="3"/>
      <c r="C405" s="3"/>
      <c r="F405" s="5"/>
    </row>
    <row r="406" spans="1:6">
      <c r="A406" s="3"/>
      <c r="B406" s="3"/>
      <c r="C406" s="3"/>
      <c r="F406" s="5"/>
    </row>
    <row r="407" spans="1:6">
      <c r="A407" s="3"/>
      <c r="B407" s="3"/>
      <c r="C407" s="3"/>
      <c r="F407" s="5"/>
    </row>
    <row r="408" spans="1:6">
      <c r="A408" s="3"/>
      <c r="B408" s="3"/>
      <c r="C408" s="3"/>
      <c r="F408" s="5"/>
    </row>
    <row r="409" spans="1:6">
      <c r="A409" s="3"/>
      <c r="B409" s="3"/>
      <c r="C409" s="3"/>
      <c r="F409" s="5"/>
    </row>
    <row r="410" spans="1:6">
      <c r="A410" s="3"/>
      <c r="B410" s="3"/>
      <c r="C410" s="3"/>
      <c r="F410" s="5"/>
    </row>
    <row r="411" spans="1:6">
      <c r="A411" s="3"/>
      <c r="B411" s="3"/>
      <c r="C411" s="3"/>
      <c r="F411" s="5"/>
    </row>
    <row r="412" spans="1:6">
      <c r="A412" s="3"/>
      <c r="B412" s="3"/>
      <c r="C412" s="3"/>
      <c r="F412" s="5"/>
    </row>
    <row r="413" spans="1:6">
      <c r="A413" s="3"/>
      <c r="B413" s="3"/>
      <c r="C413" s="3"/>
      <c r="F413" s="5"/>
    </row>
    <row r="414" spans="1:6">
      <c r="A414" s="3"/>
      <c r="B414" s="3"/>
      <c r="C414" s="3"/>
      <c r="F414" s="5"/>
    </row>
    <row r="415" spans="1:6">
      <c r="A415" s="3"/>
      <c r="B415" s="3"/>
      <c r="C415" s="3"/>
      <c r="F415" s="5"/>
    </row>
    <row r="416" spans="1:6">
      <c r="A416" s="3"/>
      <c r="B416" s="3"/>
      <c r="C416" s="3"/>
      <c r="F416" s="5"/>
    </row>
    <row r="417" spans="1:6">
      <c r="A417" s="3"/>
      <c r="B417" s="3"/>
      <c r="C417" s="3"/>
      <c r="F417" s="5"/>
    </row>
    <row r="418" spans="1:6">
      <c r="A418" s="3"/>
      <c r="B418" s="3"/>
      <c r="C418" s="3"/>
      <c r="F418" s="5"/>
    </row>
    <row r="419" spans="1:6">
      <c r="A419" s="3"/>
      <c r="B419" s="3"/>
      <c r="C419" s="3"/>
      <c r="F419" s="5"/>
    </row>
    <row r="420" spans="1:6">
      <c r="A420" s="3"/>
      <c r="B420" s="3"/>
      <c r="C420" s="3"/>
      <c r="F420" s="5"/>
    </row>
    <row r="421" spans="1:6">
      <c r="A421" s="3"/>
      <c r="B421" s="3"/>
      <c r="C421" s="3"/>
      <c r="F421" s="5"/>
    </row>
    <row r="422" spans="1:6">
      <c r="A422" s="3"/>
      <c r="B422" s="3"/>
      <c r="C422" s="3"/>
      <c r="F422" s="5"/>
    </row>
    <row r="423" spans="1:6">
      <c r="A423" s="3"/>
      <c r="B423" s="3"/>
      <c r="C423" s="3"/>
      <c r="F423" s="5"/>
    </row>
    <row r="424" spans="1:6">
      <c r="A424" s="3"/>
      <c r="B424" s="3"/>
      <c r="C424" s="3"/>
      <c r="F424" s="5"/>
    </row>
    <row r="425" spans="1:6">
      <c r="A425" s="3"/>
      <c r="B425" s="3"/>
      <c r="C425" s="3"/>
      <c r="F425" s="5"/>
    </row>
    <row r="426" spans="1:6">
      <c r="A426" s="3"/>
      <c r="B426" s="3"/>
      <c r="C426" s="3"/>
      <c r="F426" s="5"/>
    </row>
    <row r="427" spans="1:6">
      <c r="A427" s="3"/>
      <c r="B427" s="3"/>
      <c r="C427" s="3"/>
      <c r="F427" s="5"/>
    </row>
    <row r="428" spans="1:6">
      <c r="A428" s="3"/>
      <c r="B428" s="3"/>
      <c r="C428" s="3"/>
      <c r="F428" s="5"/>
    </row>
    <row r="429" spans="1:6">
      <c r="A429" s="3"/>
      <c r="B429" s="3"/>
      <c r="C429" s="3"/>
      <c r="F429" s="5"/>
    </row>
    <row r="430" spans="1:6">
      <c r="A430" s="3"/>
      <c r="B430" s="3"/>
      <c r="C430" s="3"/>
      <c r="F430" s="5"/>
    </row>
    <row r="431" spans="1:6">
      <c r="A431" s="3"/>
      <c r="B431" s="3"/>
      <c r="C431" s="3"/>
      <c r="F431" s="5"/>
    </row>
    <row r="432" spans="1:6">
      <c r="A432" s="3"/>
      <c r="B432" s="3"/>
      <c r="C432" s="3"/>
      <c r="F432" s="5"/>
    </row>
    <row r="433" spans="1:6">
      <c r="A433" s="3"/>
      <c r="B433" s="3"/>
      <c r="C433" s="3"/>
      <c r="F433" s="5"/>
    </row>
    <row r="434" spans="1:6">
      <c r="A434" s="3"/>
      <c r="B434" s="3"/>
      <c r="C434" s="3"/>
      <c r="F434" s="5"/>
    </row>
    <row r="435" spans="1:6">
      <c r="A435" s="3"/>
      <c r="B435" s="3"/>
      <c r="C435" s="3"/>
      <c r="F435" s="5"/>
    </row>
    <row r="436" spans="1:6">
      <c r="A436" s="3"/>
      <c r="B436" s="3"/>
      <c r="C436" s="3"/>
      <c r="F436" s="5"/>
    </row>
    <row r="437" spans="1:6">
      <c r="A437" s="3"/>
      <c r="B437" s="3"/>
      <c r="C437" s="3"/>
      <c r="F437" s="5"/>
    </row>
    <row r="438" spans="1:6">
      <c r="A438" s="3"/>
      <c r="B438" s="3"/>
      <c r="C438" s="3"/>
      <c r="F438" s="5"/>
    </row>
    <row r="439" spans="1:6">
      <c r="A439" s="3"/>
      <c r="B439" s="3"/>
      <c r="C439" s="3"/>
      <c r="F439" s="5"/>
    </row>
    <row r="440" spans="1:6">
      <c r="A440" s="3"/>
      <c r="B440" s="3"/>
      <c r="C440" s="3"/>
      <c r="F440" s="5"/>
    </row>
    <row r="441" spans="1:6">
      <c r="A441" s="3"/>
      <c r="B441" s="3"/>
      <c r="C441" s="3"/>
      <c r="F441" s="5"/>
    </row>
    <row r="442" spans="1:6">
      <c r="A442" s="3"/>
      <c r="B442" s="3"/>
      <c r="C442" s="3"/>
      <c r="F442" s="5"/>
    </row>
    <row r="443" spans="1:6">
      <c r="A443" s="3"/>
      <c r="B443" s="3"/>
      <c r="C443" s="3"/>
      <c r="F443" s="5"/>
    </row>
    <row r="444" spans="1:6">
      <c r="A444" s="3"/>
      <c r="B444" s="3"/>
      <c r="C444" s="3"/>
      <c r="F444" s="5"/>
    </row>
    <row r="445" spans="1:6">
      <c r="A445" s="3"/>
      <c r="B445" s="3"/>
      <c r="C445" s="3"/>
      <c r="F445" s="5"/>
    </row>
    <row r="446" spans="1:6">
      <c r="A446" s="3"/>
      <c r="B446" s="3"/>
      <c r="C446" s="3"/>
      <c r="F446" s="5"/>
    </row>
    <row r="447" spans="1:6">
      <c r="A447" s="3"/>
      <c r="B447" s="3"/>
      <c r="C447" s="3"/>
      <c r="F447" s="5"/>
    </row>
    <row r="448" spans="1:6">
      <c r="A448" s="3"/>
      <c r="B448" s="3"/>
      <c r="C448" s="3"/>
      <c r="F448" s="5"/>
    </row>
    <row r="449" spans="1:6">
      <c r="A449" s="3"/>
      <c r="B449" s="3"/>
      <c r="C449" s="3"/>
      <c r="F449" s="5"/>
    </row>
    <row r="450" spans="1:6">
      <c r="A450" s="3"/>
      <c r="B450" s="3"/>
      <c r="C450" s="3"/>
      <c r="F450" s="5"/>
    </row>
    <row r="451" spans="1:6">
      <c r="A451" s="3"/>
      <c r="B451" s="3"/>
      <c r="C451" s="3"/>
      <c r="F451" s="5"/>
    </row>
    <row r="452" spans="1:6">
      <c r="A452" s="3"/>
      <c r="B452" s="3"/>
      <c r="C452" s="3"/>
      <c r="F452" s="5"/>
    </row>
    <row r="453" spans="1:6">
      <c r="A453" s="3"/>
      <c r="B453" s="3"/>
      <c r="C453" s="3"/>
      <c r="F453" s="5"/>
    </row>
    <row r="454" spans="1:6">
      <c r="A454" s="3"/>
      <c r="B454" s="3"/>
      <c r="C454" s="3"/>
      <c r="F454" s="5"/>
    </row>
    <row r="455" spans="1:6">
      <c r="A455" s="3"/>
      <c r="B455" s="3"/>
      <c r="C455" s="3"/>
      <c r="F455" s="5"/>
    </row>
    <row r="456" spans="1:6">
      <c r="A456" s="3"/>
      <c r="B456" s="3"/>
      <c r="C456" s="3"/>
      <c r="F456" s="5"/>
    </row>
    <row r="457" spans="1:6">
      <c r="A457" s="3"/>
      <c r="B457" s="3"/>
      <c r="C457" s="3"/>
      <c r="F457" s="5"/>
    </row>
    <row r="458" spans="1:6">
      <c r="A458" s="3"/>
      <c r="B458" s="3"/>
      <c r="C458" s="3"/>
      <c r="F458" s="5"/>
    </row>
    <row r="459" spans="1:6">
      <c r="A459" s="3"/>
      <c r="B459" s="3"/>
      <c r="C459" s="3"/>
      <c r="F459" s="5"/>
    </row>
    <row r="460" spans="1:6">
      <c r="A460" s="3"/>
      <c r="B460" s="3"/>
      <c r="C460" s="3"/>
      <c r="F460" s="5"/>
    </row>
    <row r="461" spans="1:6">
      <c r="A461" s="3"/>
      <c r="B461" s="3"/>
      <c r="C461" s="3"/>
      <c r="F461" s="5"/>
    </row>
    <row r="462" spans="1:6">
      <c r="A462" s="3"/>
      <c r="B462" s="3"/>
      <c r="C462" s="3"/>
      <c r="F462" s="5"/>
    </row>
    <row r="463" spans="1:6">
      <c r="A463" s="3"/>
      <c r="B463" s="3"/>
      <c r="C463" s="3"/>
      <c r="F463" s="5"/>
    </row>
    <row r="464" spans="1:6">
      <c r="A464" s="3"/>
      <c r="B464" s="3"/>
      <c r="C464" s="3"/>
      <c r="F464" s="5"/>
    </row>
    <row r="465" spans="1:6">
      <c r="A465" s="3"/>
      <c r="B465" s="3"/>
      <c r="C465" s="3"/>
      <c r="F465" s="5"/>
    </row>
    <row r="466" spans="1:6">
      <c r="A466" s="3"/>
      <c r="B466" s="3"/>
      <c r="C466" s="3"/>
      <c r="F466" s="5"/>
    </row>
    <row r="467" spans="1:6">
      <c r="A467" s="3"/>
      <c r="B467" s="3"/>
      <c r="C467" s="3"/>
      <c r="F467" s="5"/>
    </row>
    <row r="468" spans="1:6">
      <c r="A468" s="3"/>
      <c r="B468" s="3"/>
      <c r="C468" s="3"/>
      <c r="F468" s="5"/>
    </row>
    <row r="469" spans="1:6">
      <c r="A469" s="3"/>
      <c r="B469" s="3"/>
      <c r="C469" s="3"/>
      <c r="F469" s="5"/>
    </row>
    <row r="470" spans="1:6">
      <c r="A470" s="3"/>
      <c r="B470" s="3"/>
      <c r="C470" s="3"/>
      <c r="F470" s="5"/>
    </row>
    <row r="471" spans="1:6">
      <c r="A471" s="3"/>
      <c r="B471" s="3"/>
      <c r="C471" s="3"/>
      <c r="F471" s="5"/>
    </row>
    <row r="472" spans="1:6">
      <c r="A472" s="3"/>
      <c r="B472" s="3"/>
      <c r="C472" s="3"/>
      <c r="F472" s="5"/>
    </row>
    <row r="473" spans="1:6">
      <c r="A473" s="3"/>
      <c r="B473" s="3"/>
      <c r="C473" s="3"/>
      <c r="F473" s="5"/>
    </row>
    <row r="474" spans="1:6">
      <c r="A474" s="3"/>
      <c r="B474" s="3"/>
      <c r="C474" s="3"/>
      <c r="F474" s="5"/>
    </row>
    <row r="475" spans="1:6">
      <c r="A475" s="3"/>
      <c r="B475" s="3"/>
      <c r="C475" s="3"/>
      <c r="F475" s="5"/>
    </row>
    <row r="476" spans="1:6">
      <c r="A476" s="3"/>
      <c r="B476" s="3"/>
      <c r="C476" s="3"/>
      <c r="F476" s="5"/>
    </row>
    <row r="477" spans="1:6">
      <c r="A477" s="3"/>
      <c r="B477" s="3"/>
      <c r="C477" s="3"/>
      <c r="F477" s="5"/>
    </row>
    <row r="478" spans="1:6">
      <c r="A478" s="3"/>
      <c r="B478" s="3"/>
      <c r="C478" s="3"/>
      <c r="F478" s="5"/>
    </row>
    <row r="479" spans="1:6">
      <c r="A479" s="3"/>
      <c r="B479" s="3"/>
      <c r="C479" s="3"/>
      <c r="F479" s="5"/>
    </row>
    <row r="480" spans="1:6">
      <c r="A480" s="3"/>
      <c r="B480" s="3"/>
      <c r="C480" s="3"/>
      <c r="F480" s="5"/>
    </row>
    <row r="481" spans="1:6">
      <c r="A481" s="3"/>
      <c r="B481" s="3"/>
      <c r="C481" s="3"/>
      <c r="F481" s="5"/>
    </row>
    <row r="482" spans="1:6">
      <c r="A482" s="3"/>
      <c r="B482" s="3"/>
      <c r="C482" s="3"/>
      <c r="F482" s="5"/>
    </row>
    <row r="483" spans="1:6">
      <c r="A483" s="3"/>
      <c r="B483" s="3"/>
      <c r="C483" s="3"/>
      <c r="F483" s="5"/>
    </row>
    <row r="484" spans="1:6">
      <c r="A484" s="3"/>
      <c r="B484" s="3"/>
      <c r="C484" s="3"/>
      <c r="F484" s="5"/>
    </row>
    <row r="485" spans="1:6">
      <c r="A485" s="3"/>
      <c r="B485" s="3"/>
      <c r="C485" s="3"/>
      <c r="F485" s="5"/>
    </row>
    <row r="486" spans="1:6">
      <c r="A486" s="3"/>
      <c r="B486" s="3"/>
      <c r="C486" s="3"/>
      <c r="F486" s="5"/>
    </row>
    <row r="487" spans="1:6">
      <c r="A487" s="3"/>
      <c r="B487" s="3"/>
      <c r="C487" s="3"/>
      <c r="F487" s="5"/>
    </row>
    <row r="488" spans="1:6">
      <c r="A488" s="3"/>
      <c r="B488" s="3"/>
      <c r="C488" s="3"/>
      <c r="F488" s="5"/>
    </row>
    <row r="489" spans="1:6">
      <c r="A489" s="3"/>
      <c r="B489" s="3"/>
      <c r="C489" s="3"/>
      <c r="F489" s="5"/>
    </row>
    <row r="490" spans="1:6">
      <c r="A490" s="3"/>
      <c r="B490" s="3"/>
      <c r="C490" s="3"/>
      <c r="F490" s="5"/>
    </row>
    <row r="491" spans="1:6">
      <c r="A491" s="3"/>
      <c r="B491" s="3"/>
      <c r="C491" s="3"/>
      <c r="F491" s="5"/>
    </row>
    <row r="492" spans="1:6">
      <c r="A492" s="3"/>
      <c r="B492" s="3"/>
      <c r="C492" s="3"/>
      <c r="F492" s="5"/>
    </row>
    <row r="493" spans="1:6">
      <c r="A493" s="3"/>
      <c r="B493" s="3"/>
      <c r="C493" s="3"/>
      <c r="F493" s="5"/>
    </row>
    <row r="494" spans="1:6">
      <c r="A494" s="3"/>
      <c r="B494" s="3"/>
      <c r="C494" s="3"/>
      <c r="F494" s="5"/>
    </row>
    <row r="495" spans="1:6">
      <c r="A495" s="3"/>
      <c r="B495" s="3"/>
      <c r="C495" s="3"/>
      <c r="F495" s="5"/>
    </row>
    <row r="496" spans="1:6">
      <c r="A496" s="3"/>
      <c r="B496" s="3"/>
      <c r="C496" s="3"/>
      <c r="F496" s="5"/>
    </row>
    <row r="497" spans="1:6">
      <c r="A497" s="3"/>
      <c r="B497" s="3"/>
      <c r="C497" s="3"/>
      <c r="F497" s="5"/>
    </row>
    <row r="498" spans="1:6">
      <c r="A498" s="3"/>
      <c r="B498" s="3"/>
      <c r="C498" s="3"/>
      <c r="F498" s="5"/>
    </row>
    <row r="499" spans="1:6">
      <c r="A499" s="3"/>
      <c r="B499" s="3"/>
      <c r="C499" s="3"/>
      <c r="F499" s="5"/>
    </row>
    <row r="500" spans="1:6">
      <c r="A500" s="3"/>
      <c r="B500" s="3"/>
      <c r="C500" s="3"/>
      <c r="F500" s="5"/>
    </row>
    <row r="501" spans="1:6">
      <c r="A501" s="3"/>
      <c r="B501" s="3"/>
      <c r="C501" s="3"/>
      <c r="F501" s="5"/>
    </row>
    <row r="502" spans="1:6">
      <c r="A502" s="3"/>
      <c r="B502" s="3"/>
      <c r="C502" s="3"/>
      <c r="F502" s="5"/>
    </row>
    <row r="503" spans="1:6">
      <c r="A503" s="3"/>
      <c r="B503" s="3"/>
      <c r="C503" s="3"/>
      <c r="F503" s="5"/>
    </row>
    <row r="504" spans="1:6">
      <c r="A504" s="3"/>
      <c r="B504" s="3"/>
      <c r="C504" s="3"/>
      <c r="F504" s="5"/>
    </row>
    <row r="505" spans="1:6">
      <c r="A505" s="3"/>
      <c r="B505" s="3"/>
      <c r="C505" s="3"/>
      <c r="F505" s="5"/>
    </row>
    <row r="506" spans="1:6">
      <c r="A506" s="3"/>
      <c r="B506" s="3"/>
      <c r="C506" s="3"/>
      <c r="F506" s="5"/>
    </row>
    <row r="507" spans="1:6">
      <c r="A507" s="3"/>
      <c r="B507" s="3"/>
      <c r="C507" s="3"/>
      <c r="F507" s="5"/>
    </row>
    <row r="508" spans="1:6">
      <c r="A508" s="3"/>
      <c r="B508" s="3"/>
      <c r="C508" s="3"/>
      <c r="F508" s="5"/>
    </row>
    <row r="509" spans="1:6">
      <c r="A509" s="3"/>
      <c r="B509" s="3"/>
      <c r="C509" s="3"/>
      <c r="F509" s="5"/>
    </row>
    <row r="510" spans="1:6">
      <c r="A510" s="3"/>
      <c r="B510" s="3"/>
      <c r="C510" s="3"/>
      <c r="F510" s="5"/>
    </row>
    <row r="511" spans="1:6">
      <c r="A511" s="3"/>
      <c r="B511" s="3"/>
      <c r="C511" s="3"/>
      <c r="F511" s="5"/>
    </row>
    <row r="512" spans="1:6">
      <c r="A512" s="3"/>
      <c r="B512" s="3"/>
      <c r="C512" s="3"/>
      <c r="F512" s="5"/>
    </row>
    <row r="513" spans="1:6">
      <c r="A513" s="3"/>
      <c r="B513" s="3"/>
      <c r="C513" s="3"/>
      <c r="F513" s="5"/>
    </row>
    <row r="514" spans="1:6">
      <c r="A514" s="3"/>
      <c r="B514" s="3"/>
      <c r="C514" s="3"/>
      <c r="F514" s="5"/>
    </row>
    <row r="515" spans="1:6">
      <c r="A515" s="3"/>
      <c r="B515" s="3"/>
      <c r="C515" s="3"/>
      <c r="F515" s="5"/>
    </row>
    <row r="516" spans="1:6">
      <c r="A516" s="3"/>
      <c r="B516" s="3"/>
      <c r="C516" s="3"/>
      <c r="F516" s="5"/>
    </row>
    <row r="517" spans="1:6">
      <c r="A517" s="3"/>
      <c r="B517" s="3"/>
      <c r="C517" s="3"/>
      <c r="F517" s="5"/>
    </row>
    <row r="518" spans="1:6">
      <c r="A518" s="3"/>
      <c r="B518" s="3"/>
      <c r="C518" s="3"/>
      <c r="F518" s="5"/>
    </row>
    <row r="519" spans="1:6">
      <c r="A519" s="3"/>
      <c r="B519" s="3"/>
      <c r="C519" s="3"/>
      <c r="F519" s="5"/>
    </row>
    <row r="520" spans="1:6">
      <c r="A520" s="3"/>
      <c r="B520" s="3"/>
      <c r="C520" s="3"/>
      <c r="F520" s="5"/>
    </row>
    <row r="521" spans="1:6">
      <c r="A521" s="3"/>
      <c r="B521" s="3"/>
      <c r="C521" s="3"/>
      <c r="F521" s="5"/>
    </row>
    <row r="522" spans="1:6">
      <c r="A522" s="3"/>
      <c r="B522" s="3"/>
      <c r="C522" s="3"/>
      <c r="F522" s="5"/>
    </row>
    <row r="523" spans="1:6">
      <c r="A523" s="3"/>
      <c r="B523" s="3"/>
      <c r="C523" s="3"/>
      <c r="F523" s="5"/>
    </row>
    <row r="524" spans="1:6">
      <c r="A524" s="3"/>
      <c r="B524" s="3"/>
      <c r="C524" s="3"/>
      <c r="F524" s="5"/>
    </row>
    <row r="525" spans="1:6">
      <c r="A525" s="3"/>
      <c r="B525" s="3"/>
      <c r="C525" s="3"/>
      <c r="F525" s="5"/>
    </row>
    <row r="526" spans="1:6">
      <c r="A526" s="3"/>
      <c r="B526" s="3"/>
      <c r="C526" s="3"/>
      <c r="F526" s="5"/>
    </row>
    <row r="527" spans="1:6">
      <c r="A527" s="3"/>
      <c r="B527" s="3"/>
      <c r="C527" s="3"/>
      <c r="F527" s="5"/>
    </row>
    <row r="528" spans="1:6">
      <c r="A528" s="3"/>
      <c r="B528" s="3"/>
      <c r="C528" s="3"/>
      <c r="F528" s="5"/>
    </row>
    <row r="529" spans="1:6">
      <c r="A529" s="3"/>
      <c r="B529" s="3"/>
      <c r="C529" s="3"/>
      <c r="F529" s="5"/>
    </row>
    <row r="530" spans="1:6">
      <c r="A530" s="3"/>
      <c r="B530" s="3"/>
      <c r="C530" s="3"/>
      <c r="F530" s="5"/>
    </row>
    <row r="531" spans="1:6">
      <c r="A531" s="3"/>
      <c r="B531" s="3"/>
      <c r="C531" s="3"/>
      <c r="F531" s="5"/>
    </row>
    <row r="532" spans="1:6">
      <c r="A532" s="3"/>
      <c r="B532" s="3"/>
      <c r="C532" s="3"/>
      <c r="F532" s="5"/>
    </row>
    <row r="533" spans="1:6">
      <c r="A533" s="3"/>
      <c r="B533" s="3"/>
      <c r="C533" s="3"/>
      <c r="F533" s="5"/>
    </row>
    <row r="534" spans="1:6">
      <c r="A534" s="3"/>
      <c r="B534" s="3"/>
      <c r="C534" s="3"/>
      <c r="F534" s="5"/>
    </row>
    <row r="535" spans="1:6">
      <c r="A535" s="3"/>
      <c r="B535" s="3"/>
      <c r="C535" s="3"/>
      <c r="F535" s="5"/>
    </row>
    <row r="536" spans="1:6">
      <c r="A536" s="3"/>
      <c r="B536" s="3"/>
      <c r="C536" s="3"/>
      <c r="F536" s="5"/>
    </row>
    <row r="537" spans="1:6">
      <c r="A537" s="3"/>
      <c r="B537" s="3"/>
      <c r="C537" s="3"/>
      <c r="F537" s="5"/>
    </row>
    <row r="538" spans="1:6">
      <c r="A538" s="3"/>
      <c r="B538" s="3"/>
      <c r="C538" s="3"/>
      <c r="F538" s="5"/>
    </row>
    <row r="539" spans="1:6">
      <c r="A539" s="3"/>
      <c r="B539" s="3"/>
      <c r="C539" s="3"/>
      <c r="F539" s="5"/>
    </row>
    <row r="540" spans="1:6">
      <c r="A540" s="3"/>
      <c r="B540" s="3"/>
      <c r="C540" s="3"/>
      <c r="F540" s="5"/>
    </row>
    <row r="541" spans="1:6">
      <c r="A541" s="3"/>
      <c r="B541" s="3"/>
      <c r="C541" s="3"/>
      <c r="F541" s="5"/>
    </row>
    <row r="542" spans="1:6">
      <c r="A542" s="3"/>
      <c r="B542" s="3"/>
      <c r="C542" s="3"/>
      <c r="F542" s="5"/>
    </row>
    <row r="543" spans="1:6">
      <c r="A543" s="3"/>
      <c r="B543" s="3"/>
      <c r="C543" s="3"/>
      <c r="F543" s="5"/>
    </row>
    <row r="544" spans="1:6">
      <c r="A544" s="3"/>
      <c r="B544" s="3"/>
      <c r="C544" s="3"/>
      <c r="F544" s="5"/>
    </row>
    <row r="545" spans="1:6">
      <c r="A545" s="3"/>
      <c r="B545" s="3"/>
      <c r="C545" s="3"/>
      <c r="F545" s="5"/>
    </row>
    <row r="546" spans="1:6">
      <c r="A546" s="3"/>
      <c r="B546" s="3"/>
      <c r="C546" s="3"/>
      <c r="F546" s="5"/>
    </row>
    <row r="547" spans="1:6">
      <c r="A547" s="3"/>
      <c r="B547" s="3"/>
      <c r="C547" s="3"/>
      <c r="F547" s="5"/>
    </row>
    <row r="548" spans="1:6">
      <c r="A548" s="3"/>
      <c r="B548" s="3"/>
      <c r="C548" s="3"/>
      <c r="F548" s="5"/>
    </row>
    <row r="549" spans="1:6">
      <c r="A549" s="3"/>
      <c r="B549" s="3"/>
      <c r="C549" s="3"/>
      <c r="F549" s="5"/>
    </row>
    <row r="550" spans="1:6">
      <c r="A550" s="3"/>
      <c r="B550" s="3"/>
      <c r="C550" s="3"/>
      <c r="F550" s="5"/>
    </row>
    <row r="551" spans="1:6">
      <c r="A551" s="3"/>
      <c r="B551" s="3"/>
      <c r="C551" s="3"/>
      <c r="F551" s="5"/>
    </row>
    <row r="552" spans="1:6">
      <c r="A552" s="3"/>
      <c r="B552" s="3"/>
      <c r="C552" s="3"/>
      <c r="F552" s="5"/>
    </row>
    <row r="553" spans="1:6">
      <c r="A553" s="3"/>
      <c r="B553" s="3"/>
      <c r="C553" s="3"/>
      <c r="F553" s="5"/>
    </row>
    <row r="554" spans="1:6">
      <c r="A554" s="3"/>
      <c r="B554" s="3"/>
      <c r="C554" s="3"/>
      <c r="F554" s="5"/>
    </row>
    <row r="555" spans="1:6">
      <c r="A555" s="3"/>
      <c r="B555" s="3"/>
      <c r="C555" s="3"/>
      <c r="F555" s="5"/>
    </row>
    <row r="556" spans="1:6">
      <c r="A556" s="3"/>
      <c r="B556" s="3"/>
      <c r="C556" s="3"/>
      <c r="F556" s="5"/>
    </row>
    <row r="557" spans="1:6">
      <c r="A557" s="3"/>
      <c r="B557" s="3"/>
      <c r="C557" s="3"/>
      <c r="F557" s="5"/>
    </row>
    <row r="558" spans="1:6">
      <c r="A558" s="3"/>
      <c r="B558" s="3"/>
      <c r="C558" s="3"/>
      <c r="F558" s="5"/>
    </row>
    <row r="559" spans="1:6">
      <c r="A559" s="3"/>
      <c r="B559" s="3"/>
      <c r="C559" s="3"/>
      <c r="F559" s="5"/>
    </row>
    <row r="560" spans="1:6">
      <c r="A560" s="3"/>
      <c r="B560" s="3"/>
      <c r="C560" s="3"/>
      <c r="F560" s="5"/>
    </row>
    <row r="561" spans="1:6">
      <c r="A561" s="3"/>
      <c r="B561" s="3"/>
      <c r="C561" s="3"/>
      <c r="F561" s="5"/>
    </row>
    <row r="562" spans="1:6">
      <c r="A562" s="3"/>
      <c r="B562" s="3"/>
      <c r="C562" s="3"/>
      <c r="F562" s="5"/>
    </row>
    <row r="563" spans="1:6">
      <c r="A563" s="3"/>
      <c r="B563" s="3"/>
      <c r="C563" s="3"/>
      <c r="F563" s="5"/>
    </row>
    <row r="564" spans="1:6">
      <c r="A564" s="3"/>
      <c r="B564" s="3"/>
      <c r="C564" s="3"/>
      <c r="F564" s="5"/>
    </row>
    <row r="565" spans="1:6">
      <c r="A565" s="3"/>
      <c r="B565" s="3"/>
      <c r="C565" s="3"/>
      <c r="F565" s="5"/>
    </row>
    <row r="566" spans="1:6">
      <c r="A566" s="3"/>
      <c r="B566" s="3"/>
      <c r="C566" s="3"/>
      <c r="F566" s="5"/>
    </row>
    <row r="567" spans="1:6">
      <c r="A567" s="3"/>
      <c r="B567" s="3"/>
      <c r="C567" s="3"/>
      <c r="F567" s="5"/>
    </row>
    <row r="568" spans="1:6">
      <c r="A568" s="3"/>
      <c r="B568" s="3"/>
      <c r="C568" s="3"/>
      <c r="F568" s="5"/>
    </row>
    <row r="569" spans="1:6">
      <c r="A569" s="3"/>
      <c r="B569" s="3"/>
      <c r="C569" s="3"/>
      <c r="F569" s="5"/>
    </row>
    <row r="570" spans="1:6">
      <c r="A570" s="3"/>
      <c r="B570" s="3"/>
      <c r="C570" s="3"/>
      <c r="F570" s="5"/>
    </row>
    <row r="571" spans="1:6">
      <c r="A571" s="3"/>
      <c r="B571" s="3"/>
      <c r="C571" s="3"/>
      <c r="F571" s="5"/>
    </row>
    <row r="572" spans="1:6">
      <c r="A572" s="3"/>
      <c r="B572" s="3"/>
      <c r="C572" s="3"/>
      <c r="F572" s="5"/>
    </row>
    <row r="573" spans="1:6">
      <c r="A573" s="3"/>
      <c r="B573" s="3"/>
      <c r="C573" s="3"/>
      <c r="F573" s="5"/>
    </row>
    <row r="574" spans="1:6">
      <c r="A574" s="3"/>
      <c r="B574" s="3"/>
      <c r="C574" s="3"/>
      <c r="F574" s="5"/>
    </row>
    <row r="575" spans="1:6">
      <c r="A575" s="3"/>
      <c r="B575" s="3"/>
      <c r="C575" s="3"/>
      <c r="F575" s="5"/>
    </row>
    <row r="576" spans="1:6">
      <c r="A576" s="3"/>
      <c r="B576" s="3"/>
      <c r="C576" s="3"/>
      <c r="F576" s="5"/>
    </row>
    <row r="577" spans="1:6">
      <c r="A577" s="3"/>
      <c r="B577" s="3"/>
      <c r="C577" s="3"/>
      <c r="F577" s="5"/>
    </row>
    <row r="578" spans="1:6">
      <c r="A578" s="3"/>
      <c r="B578" s="3"/>
      <c r="C578" s="3"/>
      <c r="F578" s="5"/>
    </row>
    <row r="579" spans="1:6">
      <c r="A579" s="3"/>
      <c r="B579" s="3"/>
      <c r="C579" s="3"/>
      <c r="F579" s="5"/>
    </row>
    <row r="580" spans="1:6">
      <c r="A580" s="3"/>
      <c r="B580" s="3"/>
      <c r="C580" s="3"/>
      <c r="F580" s="5"/>
    </row>
    <row r="581" spans="1:6">
      <c r="A581" s="3"/>
      <c r="B581" s="3"/>
      <c r="C581" s="3"/>
      <c r="F581" s="5"/>
    </row>
    <row r="582" spans="1:6">
      <c r="A582" s="3"/>
      <c r="B582" s="3"/>
      <c r="C582" s="3"/>
      <c r="F582" s="5"/>
    </row>
    <row r="583" spans="1:6">
      <c r="A583" s="3"/>
      <c r="B583" s="3"/>
      <c r="C583" s="3"/>
      <c r="F583" s="5"/>
    </row>
    <row r="584" spans="1:6">
      <c r="A584" s="3"/>
      <c r="B584" s="3"/>
      <c r="C584" s="3"/>
      <c r="F584" s="5"/>
    </row>
    <row r="585" spans="1:6">
      <c r="A585" s="3"/>
      <c r="B585" s="3"/>
      <c r="C585" s="3"/>
      <c r="F585" s="5"/>
    </row>
    <row r="586" spans="1:6">
      <c r="A586" s="3"/>
      <c r="B586" s="3"/>
      <c r="C586" s="3"/>
      <c r="F586" s="5"/>
    </row>
    <row r="587" spans="1:6">
      <c r="A587" s="3"/>
      <c r="B587" s="3"/>
      <c r="C587" s="3"/>
      <c r="F587" s="5"/>
    </row>
    <row r="588" spans="1:6">
      <c r="A588" s="3"/>
      <c r="B588" s="3"/>
      <c r="C588" s="3"/>
      <c r="F588" s="5"/>
    </row>
    <row r="589" spans="1:6">
      <c r="A589" s="3"/>
      <c r="B589" s="3"/>
      <c r="C589" s="3"/>
      <c r="F589" s="5"/>
    </row>
    <row r="590" spans="1:6">
      <c r="A590" s="3"/>
      <c r="B590" s="3"/>
      <c r="C590" s="3"/>
      <c r="F590" s="5"/>
    </row>
    <row r="591" spans="1:6">
      <c r="A591" s="3"/>
      <c r="B591" s="3"/>
      <c r="C591" s="3"/>
      <c r="F591" s="5"/>
    </row>
    <row r="592" spans="1:6">
      <c r="A592" s="3"/>
      <c r="B592" s="3"/>
      <c r="C592" s="3"/>
      <c r="F592" s="5"/>
    </row>
    <row r="593" spans="1:6">
      <c r="A593" s="3"/>
      <c r="B593" s="3"/>
      <c r="C593" s="3"/>
      <c r="F593" s="5"/>
    </row>
    <row r="594" spans="1:6">
      <c r="A594" s="3"/>
      <c r="B594" s="3"/>
      <c r="C594" s="3"/>
      <c r="F594" s="5"/>
    </row>
    <row r="595" spans="1:6">
      <c r="A595" s="3"/>
      <c r="B595" s="3"/>
      <c r="C595" s="3"/>
      <c r="F595" s="5"/>
    </row>
    <row r="596" spans="1:6">
      <c r="A596" s="3"/>
      <c r="B596" s="3"/>
      <c r="C596" s="3"/>
      <c r="F596" s="5"/>
    </row>
    <row r="597" spans="1:6">
      <c r="A597" s="3"/>
      <c r="B597" s="3"/>
      <c r="C597" s="3"/>
      <c r="F597" s="5"/>
    </row>
    <row r="598" spans="1:6">
      <c r="A598" s="3"/>
      <c r="B598" s="3"/>
      <c r="C598" s="3"/>
      <c r="F598" s="5"/>
    </row>
    <row r="599" spans="1:6">
      <c r="A599" s="3"/>
      <c r="B599" s="3"/>
      <c r="C599" s="3"/>
      <c r="F599" s="5"/>
    </row>
    <row r="600" spans="1:6">
      <c r="A600" s="3"/>
      <c r="B600" s="3"/>
      <c r="C600" s="3"/>
      <c r="F600" s="5"/>
    </row>
    <row r="601" spans="1:6">
      <c r="A601" s="3"/>
      <c r="B601" s="3"/>
      <c r="C601" s="3"/>
      <c r="F601" s="5"/>
    </row>
    <row r="602" spans="1:6">
      <c r="A602" s="3"/>
      <c r="B602" s="3"/>
      <c r="C602" s="3"/>
      <c r="F602" s="5"/>
    </row>
    <row r="603" spans="1:6">
      <c r="A603" s="3"/>
      <c r="B603" s="3"/>
      <c r="C603" s="3"/>
      <c r="F603" s="5"/>
    </row>
    <row r="604" spans="1:6">
      <c r="A604" s="3"/>
      <c r="B604" s="3"/>
      <c r="C604" s="3"/>
      <c r="F604" s="5"/>
    </row>
    <row r="605" spans="1:6">
      <c r="A605" s="3"/>
      <c r="B605" s="3"/>
      <c r="C605" s="3"/>
      <c r="F605" s="5"/>
    </row>
    <row r="606" spans="1:6">
      <c r="A606" s="3"/>
      <c r="B606" s="3"/>
      <c r="C606" s="3"/>
      <c r="F606" s="5"/>
    </row>
    <row r="607" spans="1:6">
      <c r="A607" s="3"/>
      <c r="B607" s="3"/>
      <c r="C607" s="3"/>
      <c r="F607" s="5"/>
    </row>
    <row r="608" spans="1:6">
      <c r="A608" s="3"/>
      <c r="B608" s="3"/>
      <c r="C608" s="3"/>
      <c r="F608" s="5"/>
    </row>
    <row r="609" spans="1:6">
      <c r="A609" s="3"/>
      <c r="B609" s="3"/>
      <c r="C609" s="3"/>
      <c r="F609" s="5"/>
    </row>
    <row r="610" spans="1:6">
      <c r="A610" s="3"/>
      <c r="B610" s="3"/>
      <c r="C610" s="3"/>
      <c r="F610" s="5"/>
    </row>
    <row r="611" spans="1:6">
      <c r="A611" s="3"/>
      <c r="B611" s="3"/>
      <c r="C611" s="3"/>
      <c r="F611" s="5"/>
    </row>
    <row r="612" spans="1:6">
      <c r="A612" s="3"/>
      <c r="B612" s="3"/>
      <c r="C612" s="3"/>
      <c r="F612" s="5"/>
    </row>
    <row r="613" spans="1:6">
      <c r="A613" s="3"/>
      <c r="B613" s="3"/>
      <c r="C613" s="3"/>
      <c r="F613" s="5"/>
    </row>
    <row r="614" spans="1:6">
      <c r="A614" s="3"/>
      <c r="B614" s="3"/>
      <c r="C614" s="3"/>
      <c r="F614" s="5"/>
    </row>
    <row r="615" spans="1:6">
      <c r="A615" s="3"/>
      <c r="B615" s="3"/>
      <c r="C615" s="3"/>
      <c r="F615" s="5"/>
    </row>
    <row r="616" spans="1:6">
      <c r="A616" s="3"/>
      <c r="B616" s="3"/>
      <c r="C616" s="3"/>
      <c r="F616" s="5"/>
    </row>
    <row r="617" spans="1:6">
      <c r="A617" s="3"/>
      <c r="B617" s="3"/>
      <c r="C617" s="3"/>
      <c r="F617" s="5"/>
    </row>
    <row r="618" spans="1:6">
      <c r="A618" s="3"/>
      <c r="B618" s="3"/>
      <c r="C618" s="3"/>
      <c r="F618" s="5"/>
    </row>
    <row r="619" spans="1:6">
      <c r="A619" s="3"/>
      <c r="B619" s="3"/>
      <c r="C619" s="3"/>
      <c r="F619" s="5"/>
    </row>
    <row r="620" spans="1:6">
      <c r="A620" s="3"/>
      <c r="B620" s="3"/>
      <c r="C620" s="3"/>
      <c r="F620" s="5"/>
    </row>
    <row r="621" spans="1:6">
      <c r="A621" s="3"/>
      <c r="B621" s="3"/>
      <c r="C621" s="3"/>
      <c r="F621" s="5"/>
    </row>
    <row r="622" spans="1:6">
      <c r="A622" s="3"/>
      <c r="B622" s="3"/>
      <c r="C622" s="3"/>
      <c r="F622" s="5"/>
    </row>
    <row r="623" spans="1:6">
      <c r="A623" s="3"/>
      <c r="B623" s="3"/>
      <c r="C623" s="3"/>
      <c r="F623" s="5"/>
    </row>
    <row r="624" spans="1:6">
      <c r="A624" s="3"/>
      <c r="B624" s="3"/>
      <c r="C624" s="3"/>
      <c r="F624" s="5"/>
    </row>
    <row r="625" spans="1:6">
      <c r="A625" s="3"/>
      <c r="B625" s="3"/>
      <c r="C625" s="3"/>
      <c r="F625" s="5"/>
    </row>
    <row r="626" spans="1:6">
      <c r="A626" s="3"/>
      <c r="B626" s="3"/>
      <c r="C626" s="3"/>
      <c r="F626" s="5"/>
    </row>
    <row r="627" spans="1:6">
      <c r="A627" s="3"/>
      <c r="B627" s="3"/>
      <c r="C627" s="3"/>
      <c r="F627" s="5"/>
    </row>
    <row r="628" spans="1:6">
      <c r="A628" s="3"/>
      <c r="B628" s="3"/>
      <c r="C628" s="3"/>
      <c r="F628" s="5"/>
    </row>
    <row r="629" spans="1:6">
      <c r="A629" s="3"/>
      <c r="B629" s="3"/>
      <c r="C629" s="3"/>
      <c r="F629" s="5"/>
    </row>
    <row r="630" spans="1:6">
      <c r="A630" s="3"/>
      <c r="B630" s="3"/>
      <c r="C630" s="3"/>
      <c r="F630" s="5"/>
    </row>
    <row r="631" spans="1:6">
      <c r="A631" s="3"/>
      <c r="B631" s="3"/>
      <c r="C631" s="3"/>
      <c r="F631" s="5"/>
    </row>
    <row r="632" spans="1:6">
      <c r="A632" s="3"/>
      <c r="B632" s="3"/>
      <c r="C632" s="3"/>
      <c r="F632" s="5"/>
    </row>
    <row r="633" spans="1:6">
      <c r="A633" s="3"/>
      <c r="B633" s="3"/>
      <c r="C633" s="3"/>
      <c r="F633" s="5"/>
    </row>
    <row r="634" spans="1:6">
      <c r="A634" s="3"/>
      <c r="B634" s="3"/>
      <c r="C634" s="3"/>
      <c r="F634" s="5"/>
    </row>
    <row r="635" spans="1:6">
      <c r="A635" s="3"/>
      <c r="B635" s="3"/>
      <c r="C635" s="3"/>
      <c r="F635" s="5"/>
    </row>
    <row r="636" spans="1:6">
      <c r="A636" s="3"/>
      <c r="B636" s="3"/>
      <c r="C636" s="3"/>
      <c r="F636" s="5"/>
    </row>
    <row r="637" spans="1:6">
      <c r="A637" s="3"/>
      <c r="B637" s="3"/>
      <c r="C637" s="3"/>
      <c r="F637" s="5"/>
    </row>
    <row r="638" spans="1:6">
      <c r="A638" s="3"/>
      <c r="B638" s="3"/>
      <c r="C638" s="3"/>
      <c r="F638" s="5"/>
    </row>
    <row r="639" spans="1:6">
      <c r="A639" s="3"/>
      <c r="B639" s="3"/>
      <c r="C639" s="3"/>
      <c r="F639" s="5"/>
    </row>
    <row r="640" spans="1:6">
      <c r="A640" s="3"/>
      <c r="B640" s="3"/>
      <c r="C640" s="3"/>
      <c r="F640" s="5"/>
    </row>
    <row r="641" spans="1:6">
      <c r="A641" s="3"/>
      <c r="B641" s="3"/>
      <c r="C641" s="3"/>
      <c r="F641" s="5"/>
    </row>
    <row r="642" spans="1:6">
      <c r="A642" s="3"/>
      <c r="B642" s="3"/>
      <c r="C642" s="3"/>
      <c r="F642" s="5"/>
    </row>
    <row r="643" spans="1:6">
      <c r="A643" s="3"/>
      <c r="B643" s="3"/>
      <c r="C643" s="3"/>
      <c r="F643" s="5"/>
    </row>
    <row r="644" spans="1:6">
      <c r="A644" s="3"/>
      <c r="B644" s="3"/>
      <c r="C644" s="3"/>
      <c r="F644" s="5"/>
    </row>
    <row r="645" spans="1:6">
      <c r="A645" s="3"/>
      <c r="B645" s="3"/>
      <c r="C645" s="3"/>
      <c r="F645" s="5"/>
    </row>
    <row r="646" spans="1:6">
      <c r="A646" s="3"/>
      <c r="B646" s="3"/>
      <c r="C646" s="3"/>
      <c r="F646" s="5"/>
    </row>
    <row r="647" spans="1:6">
      <c r="A647" s="3"/>
      <c r="B647" s="3"/>
      <c r="C647" s="3"/>
      <c r="F647" s="5"/>
    </row>
    <row r="648" spans="1:6">
      <c r="A648" s="3"/>
      <c r="B648" s="3"/>
      <c r="C648" s="3"/>
      <c r="F648" s="5"/>
    </row>
    <row r="649" spans="1:6">
      <c r="A649" s="3"/>
      <c r="B649" s="3"/>
      <c r="C649" s="3"/>
      <c r="F649" s="5"/>
    </row>
    <row r="650" spans="1:6">
      <c r="A650" s="3"/>
      <c r="B650" s="3"/>
      <c r="C650" s="3"/>
      <c r="F650" s="5"/>
    </row>
    <row r="651" spans="1:6">
      <c r="A651" s="3"/>
      <c r="B651" s="3"/>
      <c r="C651" s="3"/>
      <c r="F651" s="5"/>
    </row>
    <row r="652" spans="1:6">
      <c r="A652" s="3"/>
      <c r="B652" s="3"/>
      <c r="C652" s="3"/>
      <c r="F652" s="5"/>
    </row>
    <row r="653" spans="1:6">
      <c r="A653" s="3"/>
      <c r="B653" s="3"/>
      <c r="C653" s="3"/>
      <c r="F653" s="5"/>
    </row>
    <row r="654" spans="1:6">
      <c r="A654" s="3"/>
      <c r="B654" s="3"/>
      <c r="C654" s="3"/>
      <c r="F654" s="5"/>
    </row>
    <row r="655" spans="1:6">
      <c r="A655" s="3"/>
      <c r="B655" s="3"/>
      <c r="C655" s="3"/>
      <c r="F655" s="5"/>
    </row>
    <row r="656" spans="1:6">
      <c r="A656" s="3"/>
      <c r="B656" s="3"/>
      <c r="C656" s="3"/>
      <c r="F656" s="5"/>
    </row>
    <row r="657" spans="1:6">
      <c r="A657" s="3"/>
      <c r="B657" s="3"/>
      <c r="C657" s="3"/>
      <c r="F657" s="5"/>
    </row>
    <row r="658" spans="1:6">
      <c r="A658" s="3"/>
      <c r="B658" s="3"/>
      <c r="C658" s="3"/>
      <c r="F658" s="5"/>
    </row>
    <row r="659" spans="1:6">
      <c r="A659" s="3"/>
      <c r="B659" s="3"/>
      <c r="C659" s="3"/>
      <c r="F659" s="5"/>
    </row>
    <row r="660" spans="1:6">
      <c r="A660" s="3"/>
      <c r="B660" s="3"/>
      <c r="C660" s="3"/>
      <c r="F660" s="5"/>
    </row>
    <row r="661" spans="1:6">
      <c r="A661" s="3"/>
      <c r="B661" s="3"/>
      <c r="C661" s="3"/>
      <c r="F661" s="5"/>
    </row>
    <row r="662" spans="1:6">
      <c r="A662" s="3"/>
      <c r="B662" s="3"/>
      <c r="C662" s="3"/>
      <c r="F662" s="5"/>
    </row>
    <row r="663" spans="1:6">
      <c r="A663" s="3"/>
      <c r="B663" s="3"/>
      <c r="C663" s="3"/>
      <c r="F663" s="5"/>
    </row>
    <row r="664" spans="1:6">
      <c r="A664" s="3"/>
      <c r="B664" s="3"/>
      <c r="C664" s="3"/>
      <c r="F664" s="5"/>
    </row>
    <row r="665" spans="1:6">
      <c r="A665" s="3"/>
      <c r="B665" s="3"/>
      <c r="C665" s="3"/>
      <c r="F665" s="5"/>
    </row>
    <row r="666" spans="1:6">
      <c r="A666" s="3"/>
      <c r="B666" s="3"/>
      <c r="C666" s="3"/>
      <c r="F666" s="5"/>
    </row>
    <row r="667" spans="1:6">
      <c r="A667" s="3"/>
      <c r="B667" s="3"/>
      <c r="C667" s="3"/>
      <c r="F667" s="5"/>
    </row>
    <row r="668" spans="1:6">
      <c r="A668" s="3"/>
      <c r="B668" s="3"/>
      <c r="C668" s="3"/>
      <c r="F668" s="5"/>
    </row>
    <row r="669" spans="1:6">
      <c r="A669" s="3"/>
      <c r="B669" s="3"/>
      <c r="C669" s="3"/>
      <c r="F669" s="5"/>
    </row>
    <row r="670" spans="1:6">
      <c r="A670" s="3"/>
      <c r="B670" s="3"/>
      <c r="C670" s="3"/>
      <c r="F670" s="5"/>
    </row>
    <row r="671" spans="1:6">
      <c r="A671" s="3"/>
      <c r="B671" s="3"/>
      <c r="C671" s="3"/>
      <c r="F671" s="5"/>
    </row>
    <row r="672" spans="1:6">
      <c r="A672" s="3"/>
      <c r="B672" s="3"/>
      <c r="C672" s="3"/>
      <c r="F672" s="5"/>
    </row>
    <row r="673" spans="1:6">
      <c r="A673" s="3"/>
      <c r="B673" s="3"/>
      <c r="C673" s="3"/>
      <c r="F673" s="5"/>
    </row>
    <row r="674" spans="1:6">
      <c r="A674" s="3"/>
      <c r="B674" s="3"/>
      <c r="C674" s="3"/>
      <c r="F674" s="5"/>
    </row>
    <row r="675" spans="1:6">
      <c r="A675" s="3"/>
      <c r="B675" s="3"/>
      <c r="C675" s="3"/>
      <c r="F675" s="5"/>
    </row>
    <row r="676" spans="1:6">
      <c r="A676" s="3"/>
      <c r="B676" s="3"/>
      <c r="C676" s="3"/>
      <c r="F676" s="5"/>
    </row>
    <row r="677" spans="1:6">
      <c r="A677" s="3"/>
      <c r="B677" s="3"/>
      <c r="C677" s="3"/>
      <c r="F677" s="5"/>
    </row>
    <row r="678" spans="1:6">
      <c r="A678" s="3"/>
      <c r="B678" s="3"/>
      <c r="C678" s="3"/>
      <c r="F678" s="5"/>
    </row>
    <row r="679" spans="1:6">
      <c r="A679" s="3"/>
      <c r="B679" s="3"/>
      <c r="C679" s="3"/>
      <c r="F679" s="5"/>
    </row>
    <row r="680" spans="1:6">
      <c r="A680" s="3"/>
      <c r="B680" s="3"/>
      <c r="C680" s="3"/>
      <c r="F680" s="5"/>
    </row>
    <row r="681" spans="1:6">
      <c r="A681" s="3"/>
      <c r="B681" s="3"/>
      <c r="C681" s="3"/>
      <c r="F681" s="5"/>
    </row>
    <row r="682" spans="1:6">
      <c r="A682" s="3"/>
      <c r="B682" s="3"/>
      <c r="C682" s="3"/>
      <c r="F682" s="5"/>
    </row>
    <row r="683" spans="1:6">
      <c r="A683" s="3"/>
      <c r="B683" s="3"/>
      <c r="C683" s="3"/>
      <c r="F683" s="5"/>
    </row>
    <row r="684" spans="1:6">
      <c r="A684" s="3"/>
      <c r="B684" s="3"/>
      <c r="C684" s="3"/>
      <c r="F684" s="5"/>
    </row>
    <row r="685" spans="1:6">
      <c r="A685" s="3"/>
      <c r="B685" s="3"/>
      <c r="C685" s="3"/>
      <c r="F685" s="5"/>
    </row>
    <row r="686" spans="1:6">
      <c r="A686" s="3"/>
      <c r="B686" s="3"/>
      <c r="C686" s="3"/>
      <c r="F686" s="5"/>
    </row>
    <row r="687" spans="1:6">
      <c r="A687" s="3"/>
      <c r="B687" s="3"/>
      <c r="C687" s="3"/>
      <c r="F687" s="5"/>
    </row>
    <row r="688" spans="1:6">
      <c r="A688" s="3"/>
      <c r="B688" s="3"/>
      <c r="C688" s="3"/>
      <c r="F688" s="5"/>
    </row>
    <row r="689" spans="1:6">
      <c r="A689" s="3"/>
      <c r="B689" s="3"/>
      <c r="C689" s="3"/>
      <c r="F689" s="5"/>
    </row>
    <row r="690" spans="1:6">
      <c r="A690" s="3"/>
      <c r="B690" s="3"/>
      <c r="C690" s="3"/>
      <c r="F690" s="5"/>
    </row>
    <row r="691" spans="1:6">
      <c r="A691" s="3"/>
      <c r="B691" s="3"/>
      <c r="C691" s="3"/>
      <c r="F691" s="5"/>
    </row>
    <row r="692" spans="1:6">
      <c r="A692" s="3"/>
      <c r="B692" s="3"/>
      <c r="C692" s="3"/>
      <c r="F692" s="5"/>
    </row>
    <row r="693" spans="1:6">
      <c r="A693" s="3"/>
      <c r="B693" s="3"/>
      <c r="C693" s="3"/>
      <c r="F693" s="5"/>
    </row>
    <row r="694" spans="1:6">
      <c r="A694" s="3"/>
      <c r="B694" s="3"/>
      <c r="C694" s="3"/>
      <c r="F694" s="5"/>
    </row>
    <row r="695" spans="1:6">
      <c r="A695" s="3"/>
      <c r="B695" s="3"/>
      <c r="C695" s="3"/>
      <c r="F695" s="5"/>
    </row>
    <row r="696" spans="1:6">
      <c r="A696" s="3"/>
      <c r="B696" s="3"/>
      <c r="C696" s="3"/>
      <c r="F696" s="5"/>
    </row>
    <row r="697" spans="1:6">
      <c r="A697" s="3"/>
      <c r="B697" s="3"/>
      <c r="C697" s="3"/>
      <c r="F697" s="5"/>
    </row>
    <row r="698" spans="1:6">
      <c r="A698" s="3"/>
      <c r="B698" s="3"/>
      <c r="C698" s="3"/>
      <c r="F698" s="5"/>
    </row>
    <row r="699" spans="1:6">
      <c r="A699" s="3"/>
      <c r="B699" s="3"/>
      <c r="C699" s="3"/>
      <c r="F699" s="5"/>
    </row>
    <row r="700" spans="1:6">
      <c r="A700" s="3"/>
      <c r="B700" s="3"/>
      <c r="C700" s="3"/>
      <c r="F700" s="5"/>
    </row>
    <row r="701" spans="1:6">
      <c r="A701" s="3"/>
      <c r="B701" s="3"/>
      <c r="C701" s="3"/>
      <c r="F701" s="5"/>
    </row>
    <row r="702" spans="1:6">
      <c r="A702" s="3"/>
      <c r="B702" s="3"/>
      <c r="C702" s="3"/>
      <c r="F702" s="5"/>
    </row>
    <row r="703" spans="1:6">
      <c r="A703" s="3"/>
      <c r="B703" s="3"/>
      <c r="C703" s="3"/>
      <c r="F703" s="5"/>
    </row>
    <row r="704" spans="1:6">
      <c r="A704" s="3"/>
      <c r="B704" s="3"/>
      <c r="C704" s="3"/>
      <c r="F704" s="5"/>
    </row>
    <row r="705" spans="1:6">
      <c r="A705" s="3"/>
      <c r="B705" s="3"/>
      <c r="C705" s="3"/>
      <c r="F705" s="5"/>
    </row>
    <row r="706" spans="1:6">
      <c r="A706" s="3"/>
      <c r="B706" s="3"/>
      <c r="C706" s="3"/>
      <c r="F706" s="5"/>
    </row>
    <row r="707" spans="1:6">
      <c r="A707" s="3"/>
      <c r="B707" s="3"/>
      <c r="C707" s="3"/>
      <c r="F707" s="5"/>
    </row>
    <row r="708" spans="1:6">
      <c r="A708" s="3"/>
      <c r="B708" s="3"/>
      <c r="C708" s="3"/>
      <c r="F708" s="5"/>
    </row>
    <row r="709" spans="1:6">
      <c r="A709" s="3"/>
      <c r="B709" s="3"/>
      <c r="C709" s="3"/>
      <c r="F709" s="5"/>
    </row>
    <row r="710" spans="1:6">
      <c r="A710" s="3"/>
      <c r="B710" s="3"/>
      <c r="C710" s="3"/>
      <c r="F710" s="5"/>
    </row>
    <row r="711" spans="1:6">
      <c r="A711" s="3"/>
      <c r="B711" s="3"/>
      <c r="C711" s="3"/>
      <c r="F711" s="5"/>
    </row>
    <row r="712" spans="1:6">
      <c r="A712" s="3"/>
      <c r="B712" s="3"/>
      <c r="C712" s="3"/>
      <c r="F712" s="5"/>
    </row>
    <row r="713" spans="1:6">
      <c r="A713" s="3"/>
      <c r="B713" s="3"/>
      <c r="C713" s="3"/>
      <c r="F713" s="5"/>
    </row>
    <row r="714" spans="1:6">
      <c r="A714" s="3"/>
      <c r="B714" s="3"/>
      <c r="C714" s="3"/>
      <c r="F714" s="5"/>
    </row>
    <row r="715" spans="1:6">
      <c r="A715" s="3"/>
      <c r="B715" s="3"/>
      <c r="C715" s="3"/>
      <c r="F715" s="5"/>
    </row>
    <row r="716" spans="1:6">
      <c r="A716" s="3"/>
      <c r="B716" s="3"/>
      <c r="C716" s="3"/>
      <c r="F716" s="5"/>
    </row>
    <row r="717" spans="1:6">
      <c r="A717" s="3"/>
      <c r="B717" s="3"/>
      <c r="C717" s="3"/>
      <c r="F717" s="5"/>
    </row>
    <row r="718" spans="1:6">
      <c r="A718" s="3"/>
      <c r="B718" s="3"/>
      <c r="C718" s="3"/>
      <c r="F718" s="5"/>
    </row>
    <row r="719" spans="1:6">
      <c r="A719" s="3"/>
      <c r="B719" s="3"/>
      <c r="C719" s="3"/>
      <c r="F719" s="5"/>
    </row>
    <row r="720" spans="1:6">
      <c r="A720" s="3"/>
      <c r="B720" s="3"/>
      <c r="C720" s="3"/>
      <c r="F720" s="5"/>
    </row>
    <row r="721" spans="1:6">
      <c r="A721" s="3"/>
      <c r="B721" s="3"/>
      <c r="C721" s="3"/>
      <c r="F721" s="5"/>
    </row>
    <row r="722" spans="1:6">
      <c r="A722" s="3"/>
      <c r="B722" s="3"/>
      <c r="C722" s="3"/>
      <c r="F722" s="5"/>
    </row>
    <row r="723" spans="1:6">
      <c r="A723" s="3"/>
      <c r="B723" s="3"/>
      <c r="C723" s="3"/>
      <c r="F723" s="5"/>
    </row>
    <row r="724" spans="1:6">
      <c r="A724" s="3"/>
      <c r="B724" s="3"/>
      <c r="C724" s="3"/>
      <c r="F724" s="5"/>
    </row>
    <row r="725" spans="1:6">
      <c r="A725" s="3"/>
      <c r="B725" s="3"/>
      <c r="C725" s="3"/>
      <c r="F725" s="5"/>
    </row>
    <row r="726" spans="1:6">
      <c r="A726" s="3"/>
      <c r="B726" s="3"/>
      <c r="C726" s="3"/>
      <c r="F726" s="5"/>
    </row>
    <row r="727" spans="1:6">
      <c r="A727" s="3"/>
      <c r="B727" s="3"/>
      <c r="C727" s="3"/>
      <c r="F727" s="5"/>
    </row>
    <row r="728" spans="1:6">
      <c r="A728" s="3"/>
      <c r="B728" s="3"/>
      <c r="C728" s="3"/>
      <c r="F728" s="5"/>
    </row>
    <row r="729" spans="1:6">
      <c r="A729" s="3"/>
      <c r="B729" s="3"/>
      <c r="C729" s="3"/>
      <c r="F729" s="5"/>
    </row>
    <row r="730" spans="1:6">
      <c r="A730" s="3"/>
      <c r="B730" s="3"/>
      <c r="C730" s="3"/>
      <c r="F730" s="5"/>
    </row>
    <row r="731" spans="1:6">
      <c r="A731" s="3"/>
      <c r="B731" s="3"/>
      <c r="C731" s="3"/>
      <c r="F731" s="5"/>
    </row>
    <row r="732" spans="1:6">
      <c r="A732" s="3"/>
      <c r="B732" s="3"/>
      <c r="C732" s="3"/>
      <c r="F732" s="5"/>
    </row>
    <row r="733" spans="1:6">
      <c r="A733" s="3"/>
      <c r="B733" s="3"/>
      <c r="C733" s="3"/>
      <c r="F733" s="5"/>
    </row>
    <row r="734" spans="1:6">
      <c r="A734" s="3"/>
      <c r="B734" s="3"/>
      <c r="C734" s="3"/>
      <c r="F734" s="5"/>
    </row>
    <row r="735" spans="1:6">
      <c r="A735" s="3"/>
      <c r="B735" s="3"/>
      <c r="C735" s="3"/>
      <c r="F735" s="5"/>
    </row>
    <row r="736" spans="1:6">
      <c r="A736" s="3"/>
      <c r="B736" s="3"/>
      <c r="C736" s="3"/>
      <c r="F736" s="5"/>
    </row>
    <row r="737" spans="1:6">
      <c r="A737" s="3"/>
      <c r="B737" s="3"/>
      <c r="C737" s="3"/>
      <c r="F737" s="5"/>
    </row>
    <row r="738" spans="1:6">
      <c r="A738" s="3"/>
      <c r="B738" s="3"/>
      <c r="C738" s="3"/>
      <c r="F738" s="5"/>
    </row>
    <row r="739" spans="1:6">
      <c r="A739" s="3"/>
      <c r="B739" s="3"/>
      <c r="C739" s="3"/>
      <c r="F739" s="5"/>
    </row>
    <row r="740" spans="1:6">
      <c r="A740" s="3"/>
      <c r="B740" s="3"/>
      <c r="C740" s="3"/>
      <c r="F740" s="5"/>
    </row>
    <row r="741" spans="1:6">
      <c r="A741" s="3"/>
      <c r="B741" s="3"/>
      <c r="C741" s="3"/>
      <c r="F741" s="5"/>
    </row>
    <row r="742" spans="1:6">
      <c r="A742" s="3"/>
      <c r="B742" s="3"/>
      <c r="C742" s="3"/>
      <c r="F742" s="5"/>
    </row>
    <row r="743" spans="1:6">
      <c r="A743" s="3"/>
      <c r="B743" s="3"/>
      <c r="C743" s="3"/>
      <c r="F743" s="5"/>
    </row>
    <row r="744" spans="1:6">
      <c r="A744" s="3"/>
      <c r="B744" s="3"/>
      <c r="C744" s="3"/>
      <c r="F744" s="5"/>
    </row>
    <row r="745" spans="1:6">
      <c r="A745" s="3"/>
      <c r="B745" s="3"/>
      <c r="C745" s="3"/>
      <c r="F745" s="5"/>
    </row>
    <row r="746" spans="1:6">
      <c r="A746" s="3"/>
      <c r="B746" s="3"/>
      <c r="C746" s="3"/>
      <c r="F746" s="5"/>
    </row>
    <row r="747" spans="1:6">
      <c r="A747" s="3"/>
      <c r="B747" s="3"/>
      <c r="C747" s="3"/>
      <c r="F747" s="5"/>
    </row>
    <row r="748" spans="1:6">
      <c r="A748" s="3"/>
      <c r="B748" s="3"/>
      <c r="C748" s="3"/>
      <c r="F748" s="5"/>
    </row>
    <row r="749" spans="1:6">
      <c r="A749" s="3"/>
      <c r="B749" s="3"/>
      <c r="C749" s="3"/>
      <c r="F749" s="5"/>
    </row>
    <row r="750" spans="1:6">
      <c r="A750" s="3"/>
      <c r="B750" s="3"/>
      <c r="C750" s="3"/>
      <c r="F750" s="5"/>
    </row>
    <row r="751" spans="1:6">
      <c r="A751" s="3"/>
      <c r="B751" s="3"/>
      <c r="C751" s="3"/>
      <c r="F751" s="5"/>
    </row>
    <row r="752" spans="1:6">
      <c r="A752" s="3"/>
      <c r="B752" s="3"/>
      <c r="C752" s="3"/>
      <c r="F752" s="5"/>
    </row>
    <row r="753" spans="1:6">
      <c r="A753" s="3"/>
      <c r="B753" s="3"/>
      <c r="C753" s="3"/>
      <c r="F753" s="5"/>
    </row>
    <row r="754" spans="1:6">
      <c r="A754" s="3"/>
      <c r="B754" s="3"/>
      <c r="C754" s="3"/>
      <c r="F754" s="5"/>
    </row>
    <row r="755" spans="1:6">
      <c r="A755" s="3"/>
      <c r="B755" s="3"/>
      <c r="C755" s="3"/>
      <c r="F755" s="5"/>
    </row>
    <row r="756" spans="1:6">
      <c r="A756" s="3"/>
      <c r="B756" s="3"/>
      <c r="C756" s="3"/>
      <c r="F756" s="5"/>
    </row>
    <row r="757" spans="1:6">
      <c r="A757" s="3"/>
      <c r="B757" s="3"/>
      <c r="C757" s="3"/>
      <c r="F757" s="5"/>
    </row>
    <row r="758" spans="1:6">
      <c r="A758" s="3"/>
      <c r="B758" s="3"/>
      <c r="C758" s="3"/>
      <c r="F758" s="5"/>
    </row>
    <row r="759" spans="1:6">
      <c r="A759" s="3"/>
      <c r="B759" s="3"/>
      <c r="C759" s="3"/>
      <c r="F759" s="5"/>
    </row>
    <row r="760" spans="1:6">
      <c r="A760" s="3"/>
      <c r="B760" s="3"/>
      <c r="C760" s="3"/>
      <c r="F760" s="5"/>
    </row>
    <row r="761" spans="1:6">
      <c r="A761" s="3"/>
      <c r="B761" s="3"/>
      <c r="C761" s="3"/>
      <c r="F761" s="5"/>
    </row>
    <row r="762" spans="1:6">
      <c r="A762" s="3"/>
      <c r="B762" s="3"/>
      <c r="C762" s="3"/>
      <c r="F762" s="5"/>
    </row>
    <row r="763" spans="1:6">
      <c r="A763" s="3"/>
      <c r="B763" s="3"/>
      <c r="C763" s="3"/>
      <c r="F763" s="5"/>
    </row>
    <row r="764" spans="1:6">
      <c r="A764" s="3"/>
      <c r="B764" s="3"/>
      <c r="C764" s="3"/>
      <c r="F764" s="5"/>
    </row>
    <row r="765" spans="1:6">
      <c r="A765" s="3"/>
      <c r="B765" s="3"/>
      <c r="C765" s="3"/>
      <c r="F765" s="5"/>
    </row>
    <row r="766" spans="1:6">
      <c r="A766" s="3"/>
      <c r="B766" s="3"/>
      <c r="C766" s="3"/>
      <c r="F766" s="5"/>
    </row>
    <row r="767" spans="1:6">
      <c r="A767" s="3"/>
      <c r="B767" s="3"/>
      <c r="C767" s="3"/>
      <c r="F767" s="5"/>
    </row>
    <row r="768" spans="1:6">
      <c r="A768" s="3"/>
      <c r="B768" s="3"/>
      <c r="C768" s="3"/>
      <c r="F768" s="5"/>
    </row>
    <row r="769" spans="1:6">
      <c r="A769" s="3"/>
      <c r="B769" s="3"/>
      <c r="C769" s="3"/>
      <c r="F769" s="5"/>
    </row>
    <row r="770" spans="1:6">
      <c r="A770" s="3"/>
      <c r="B770" s="3"/>
      <c r="C770" s="3"/>
      <c r="F770" s="5"/>
    </row>
    <row r="771" spans="1:6">
      <c r="A771" s="3"/>
      <c r="B771" s="3"/>
      <c r="C771" s="3"/>
      <c r="F771" s="5"/>
    </row>
    <row r="772" spans="1:6">
      <c r="A772" s="3"/>
      <c r="B772" s="3"/>
      <c r="C772" s="3"/>
      <c r="F772" s="5"/>
    </row>
    <row r="773" spans="1:6">
      <c r="A773" s="3"/>
      <c r="B773" s="3"/>
      <c r="C773" s="3"/>
      <c r="F773" s="5"/>
    </row>
    <row r="774" spans="1:6">
      <c r="A774" s="3"/>
      <c r="B774" s="3"/>
      <c r="C774" s="3"/>
      <c r="F774" s="5"/>
    </row>
    <row r="775" spans="1:6">
      <c r="A775" s="3"/>
      <c r="B775" s="3"/>
      <c r="C775" s="3"/>
      <c r="F775" s="5"/>
    </row>
    <row r="776" spans="1:6">
      <c r="A776" s="3"/>
      <c r="B776" s="3"/>
      <c r="C776" s="3"/>
      <c r="F776" s="5"/>
    </row>
    <row r="777" spans="1:6">
      <c r="A777" s="3"/>
      <c r="B777" s="3"/>
      <c r="C777" s="3"/>
      <c r="F777" s="5"/>
    </row>
    <row r="778" spans="1:6">
      <c r="A778" s="3"/>
      <c r="B778" s="3"/>
      <c r="C778" s="3"/>
      <c r="F778" s="5"/>
    </row>
    <row r="779" spans="1:6">
      <c r="A779" s="3"/>
      <c r="B779" s="3"/>
      <c r="C779" s="3"/>
      <c r="F779" s="5"/>
    </row>
    <row r="780" spans="1:6">
      <c r="A780" s="3"/>
      <c r="B780" s="3"/>
      <c r="C780" s="3"/>
      <c r="F780" s="5"/>
    </row>
    <row r="781" spans="1:6">
      <c r="A781" s="3"/>
      <c r="B781" s="3"/>
      <c r="C781" s="3"/>
      <c r="F781" s="5"/>
    </row>
    <row r="782" spans="1:6">
      <c r="A782" s="3"/>
      <c r="B782" s="3"/>
      <c r="C782" s="3"/>
      <c r="F782" s="5"/>
    </row>
    <row r="783" spans="1:6">
      <c r="A783" s="3"/>
      <c r="B783" s="3"/>
      <c r="C783" s="3"/>
      <c r="F783" s="5"/>
    </row>
    <row r="784" spans="1:6">
      <c r="A784" s="3"/>
      <c r="B784" s="3"/>
      <c r="C784" s="3"/>
      <c r="F784" s="5"/>
    </row>
    <row r="785" spans="1:6">
      <c r="A785" s="3"/>
      <c r="B785" s="3"/>
      <c r="C785" s="3"/>
      <c r="F785" s="5"/>
    </row>
    <row r="786" spans="1:6">
      <c r="A786" s="3"/>
      <c r="B786" s="3"/>
      <c r="C786" s="3"/>
      <c r="F786" s="5"/>
    </row>
    <row r="787" spans="1:6">
      <c r="A787" s="3"/>
      <c r="B787" s="3"/>
      <c r="C787" s="3"/>
      <c r="F787" s="5"/>
    </row>
    <row r="788" spans="1:6">
      <c r="A788" s="3"/>
      <c r="B788" s="3"/>
      <c r="C788" s="3"/>
      <c r="F788" s="5"/>
    </row>
    <row r="789" spans="1:6">
      <c r="A789" s="3"/>
      <c r="B789" s="3"/>
      <c r="C789" s="3"/>
      <c r="F789" s="5"/>
    </row>
    <row r="790" spans="1:6">
      <c r="A790" s="3"/>
      <c r="B790" s="3"/>
      <c r="C790" s="3"/>
      <c r="F790" s="5"/>
    </row>
    <row r="791" spans="1:6">
      <c r="A791" s="3"/>
      <c r="B791" s="3"/>
      <c r="C791" s="3"/>
      <c r="F791" s="5"/>
    </row>
    <row r="792" spans="1:6">
      <c r="A792" s="3"/>
      <c r="B792" s="3"/>
      <c r="C792" s="3"/>
      <c r="F792" s="5"/>
    </row>
    <row r="793" spans="1:6">
      <c r="A793" s="3"/>
      <c r="B793" s="3"/>
      <c r="C793" s="3"/>
      <c r="F793" s="5"/>
    </row>
    <row r="794" spans="1:6">
      <c r="A794" s="3"/>
      <c r="B794" s="3"/>
      <c r="C794" s="3"/>
      <c r="F794" s="5"/>
    </row>
    <row r="795" spans="1:6">
      <c r="A795" s="3"/>
      <c r="B795" s="3"/>
      <c r="C795" s="3"/>
      <c r="F795" s="5"/>
    </row>
    <row r="796" spans="1:6">
      <c r="A796" s="3"/>
      <c r="B796" s="3"/>
      <c r="C796" s="3"/>
      <c r="F796" s="5"/>
    </row>
    <row r="797" spans="1:6">
      <c r="A797" s="3"/>
      <c r="B797" s="3"/>
      <c r="C797" s="3"/>
      <c r="F797" s="5"/>
    </row>
    <row r="798" spans="1:6">
      <c r="A798" s="3"/>
      <c r="B798" s="3"/>
      <c r="C798" s="3"/>
      <c r="F798" s="5"/>
    </row>
    <row r="799" spans="1:6">
      <c r="A799" s="3"/>
      <c r="B799" s="3"/>
      <c r="C799" s="3"/>
      <c r="F799" s="5"/>
    </row>
    <row r="800" spans="1:6">
      <c r="A800" s="3"/>
      <c r="B800" s="3"/>
      <c r="C800" s="3"/>
      <c r="F800" s="5"/>
    </row>
    <row r="801" spans="1:6">
      <c r="A801" s="3"/>
      <c r="B801" s="3"/>
      <c r="C801" s="3"/>
      <c r="F801" s="5"/>
    </row>
    <row r="802" spans="1:6">
      <c r="A802" s="3"/>
      <c r="B802" s="3"/>
      <c r="C802" s="3"/>
      <c r="F802" s="5"/>
    </row>
    <row r="803" spans="1:6">
      <c r="A803" s="3"/>
      <c r="B803" s="3"/>
      <c r="C803" s="3"/>
      <c r="F803" s="5"/>
    </row>
    <row r="804" spans="1:6">
      <c r="A804" s="3"/>
      <c r="B804" s="3"/>
      <c r="C804" s="3"/>
      <c r="F804" s="5"/>
    </row>
    <row r="805" spans="1:6">
      <c r="A805" s="3"/>
      <c r="B805" s="3"/>
      <c r="C805" s="3"/>
      <c r="F805" s="5"/>
    </row>
    <row r="806" spans="1:6">
      <c r="A806" s="3"/>
      <c r="B806" s="3"/>
      <c r="C806" s="3"/>
      <c r="F806" s="5"/>
    </row>
    <row r="807" spans="1:6">
      <c r="A807" s="3"/>
      <c r="B807" s="3"/>
      <c r="C807" s="3"/>
      <c r="F807" s="5"/>
    </row>
    <row r="808" spans="1:6">
      <c r="A808" s="3"/>
      <c r="B808" s="3"/>
      <c r="C808" s="3"/>
      <c r="F808" s="5"/>
    </row>
    <row r="809" spans="1:6">
      <c r="A809" s="3"/>
      <c r="B809" s="3"/>
      <c r="C809" s="3"/>
      <c r="F809" s="5"/>
    </row>
    <row r="810" spans="1:6">
      <c r="A810" s="3"/>
      <c r="B810" s="3"/>
      <c r="C810" s="3"/>
      <c r="F810" s="5"/>
    </row>
    <row r="811" spans="1:6">
      <c r="A811" s="3"/>
      <c r="B811" s="3"/>
      <c r="C811" s="3"/>
      <c r="F811" s="5"/>
    </row>
    <row r="812" spans="1:6">
      <c r="A812" s="3"/>
      <c r="B812" s="3"/>
      <c r="C812" s="3"/>
      <c r="F812" s="5"/>
    </row>
    <row r="813" spans="1:6">
      <c r="A813" s="3"/>
      <c r="B813" s="3"/>
      <c r="C813" s="3"/>
      <c r="F813" s="5"/>
    </row>
    <row r="814" spans="1:6">
      <c r="A814" s="3"/>
      <c r="B814" s="3"/>
      <c r="C814" s="3"/>
      <c r="F814" s="5"/>
    </row>
    <row r="815" spans="1:6">
      <c r="A815" s="3"/>
      <c r="B815" s="3"/>
      <c r="C815" s="3"/>
      <c r="F815" s="5"/>
    </row>
    <row r="816" spans="1:6">
      <c r="A816" s="3"/>
      <c r="B816" s="3"/>
      <c r="C816" s="3"/>
      <c r="F816" s="5"/>
    </row>
    <row r="817" spans="1:6">
      <c r="A817" s="3"/>
      <c r="B817" s="3"/>
      <c r="C817" s="3"/>
      <c r="F817" s="5"/>
    </row>
    <row r="818" spans="1:6">
      <c r="A818" s="3"/>
      <c r="B818" s="3"/>
      <c r="C818" s="3"/>
      <c r="F818" s="5"/>
    </row>
    <row r="819" spans="1:6">
      <c r="A819" s="3"/>
      <c r="B819" s="3"/>
      <c r="C819" s="3"/>
      <c r="F819" s="5"/>
    </row>
    <row r="820" spans="1:6">
      <c r="A820" s="3"/>
      <c r="B820" s="3"/>
      <c r="C820" s="3"/>
      <c r="F820" s="5"/>
    </row>
    <row r="821" spans="1:6">
      <c r="A821" s="3"/>
      <c r="B821" s="3"/>
      <c r="C821" s="3"/>
      <c r="F821" s="5"/>
    </row>
    <row r="822" spans="1:6">
      <c r="A822" s="3"/>
      <c r="B822" s="3"/>
      <c r="C822" s="3"/>
      <c r="F822" s="5"/>
    </row>
    <row r="823" spans="1:6">
      <c r="A823" s="3"/>
      <c r="B823" s="3"/>
      <c r="C823" s="3"/>
      <c r="F823" s="5"/>
    </row>
    <row r="824" spans="1:6">
      <c r="A824" s="3"/>
      <c r="B824" s="3"/>
      <c r="C824" s="3"/>
      <c r="F824" s="5"/>
    </row>
    <row r="825" spans="1:6">
      <c r="A825" s="3"/>
      <c r="B825" s="3"/>
      <c r="C825" s="3"/>
      <c r="F825" s="5"/>
    </row>
    <row r="826" spans="1:6">
      <c r="A826" s="3"/>
      <c r="B826" s="3"/>
      <c r="C826" s="3"/>
      <c r="F826" s="5"/>
    </row>
    <row r="827" spans="1:6">
      <c r="A827" s="3"/>
      <c r="B827" s="3"/>
      <c r="C827" s="3"/>
      <c r="F827" s="5"/>
    </row>
    <row r="828" spans="1:6">
      <c r="A828" s="3"/>
      <c r="B828" s="3"/>
      <c r="C828" s="3"/>
      <c r="F828" s="5"/>
    </row>
    <row r="829" spans="1:6">
      <c r="A829" s="3"/>
      <c r="B829" s="3"/>
      <c r="C829" s="3"/>
      <c r="F829" s="5"/>
    </row>
    <row r="830" spans="1:6">
      <c r="A830" s="3"/>
      <c r="B830" s="3"/>
      <c r="C830" s="3"/>
      <c r="F830" s="5"/>
    </row>
    <row r="831" spans="1:6">
      <c r="A831" s="3"/>
      <c r="B831" s="3"/>
      <c r="C831" s="3"/>
      <c r="F831" s="5"/>
    </row>
    <row r="832" spans="1:6">
      <c r="A832" s="3"/>
      <c r="B832" s="3"/>
      <c r="C832" s="3"/>
      <c r="F832" s="5"/>
    </row>
    <row r="833" spans="1:6">
      <c r="A833" s="3"/>
      <c r="B833" s="3"/>
      <c r="C833" s="3"/>
      <c r="F833" s="5"/>
    </row>
    <row r="834" spans="1:6">
      <c r="A834" s="3"/>
      <c r="B834" s="3"/>
      <c r="C834" s="3"/>
      <c r="F834" s="5"/>
    </row>
    <row r="835" spans="1:6">
      <c r="A835" s="3"/>
      <c r="B835" s="3"/>
      <c r="C835" s="3"/>
      <c r="F835" s="5"/>
    </row>
    <row r="836" spans="1:6">
      <c r="A836" s="3"/>
      <c r="B836" s="3"/>
      <c r="C836" s="3"/>
      <c r="F836" s="5"/>
    </row>
    <row r="837" spans="1:6">
      <c r="A837" s="3"/>
      <c r="B837" s="3"/>
      <c r="C837" s="3"/>
      <c r="F837" s="5"/>
    </row>
    <row r="838" spans="1:6">
      <c r="A838" s="3"/>
      <c r="B838" s="3"/>
      <c r="C838" s="3"/>
      <c r="F838" s="5"/>
    </row>
    <row r="839" spans="1:6">
      <c r="A839" s="3"/>
      <c r="B839" s="3"/>
      <c r="C839" s="3"/>
      <c r="F839" s="5"/>
    </row>
    <row r="840" spans="1:6">
      <c r="A840" s="3"/>
      <c r="B840" s="3"/>
      <c r="C840" s="3"/>
      <c r="F840" s="5"/>
    </row>
    <row r="841" spans="1:6">
      <c r="A841" s="3"/>
      <c r="B841" s="3"/>
      <c r="C841" s="3"/>
      <c r="F841" s="5"/>
    </row>
    <row r="842" spans="1:6">
      <c r="A842" s="3"/>
      <c r="B842" s="3"/>
      <c r="C842" s="3"/>
      <c r="F842" s="5"/>
    </row>
    <row r="843" spans="1:6">
      <c r="A843" s="3"/>
      <c r="B843" s="3"/>
      <c r="C843" s="3"/>
      <c r="F843" s="5"/>
    </row>
    <row r="844" spans="1:6">
      <c r="A844" s="3"/>
      <c r="B844" s="3"/>
      <c r="C844" s="3"/>
      <c r="F844" s="5"/>
    </row>
    <row r="845" spans="1:6">
      <c r="A845" s="3"/>
      <c r="B845" s="3"/>
      <c r="C845" s="3"/>
      <c r="F845" s="5"/>
    </row>
    <row r="846" spans="1:6">
      <c r="A846" s="3"/>
      <c r="B846" s="3"/>
      <c r="C846" s="3"/>
      <c r="F846" s="5"/>
    </row>
    <row r="847" spans="1:6">
      <c r="A847" s="3"/>
      <c r="B847" s="3"/>
      <c r="C847" s="3"/>
      <c r="F847" s="5"/>
    </row>
    <row r="848" spans="1:6">
      <c r="A848" s="3"/>
      <c r="B848" s="3"/>
      <c r="C848" s="3"/>
      <c r="F848" s="5"/>
    </row>
    <row r="849" spans="1:6">
      <c r="A849" s="3"/>
      <c r="B849" s="3"/>
      <c r="C849" s="3"/>
      <c r="F849" s="5"/>
    </row>
    <row r="850" spans="1:6">
      <c r="A850" s="3"/>
      <c r="B850" s="3"/>
      <c r="C850" s="3"/>
      <c r="F850" s="5"/>
    </row>
    <row r="851" spans="1:6">
      <c r="A851" s="3"/>
      <c r="B851" s="3"/>
      <c r="C851" s="3"/>
      <c r="F851" s="5"/>
    </row>
    <row r="852" spans="1:6">
      <c r="A852" s="3"/>
      <c r="B852" s="3"/>
      <c r="C852" s="3"/>
      <c r="F852" s="5"/>
    </row>
    <row r="853" spans="1:6">
      <c r="A853" s="3"/>
      <c r="B853" s="3"/>
      <c r="C853" s="3"/>
      <c r="F853" s="5"/>
    </row>
    <row r="854" spans="1:6">
      <c r="A854" s="3"/>
      <c r="B854" s="3"/>
      <c r="C854" s="3"/>
      <c r="F854" s="5"/>
    </row>
    <row r="855" spans="1:6">
      <c r="A855" s="3"/>
      <c r="B855" s="3"/>
      <c r="C855" s="3"/>
      <c r="F855" s="5"/>
    </row>
    <row r="856" spans="1:6">
      <c r="A856" s="3"/>
      <c r="B856" s="3"/>
      <c r="C856" s="3"/>
      <c r="F856" s="5"/>
    </row>
    <row r="857" spans="1:6">
      <c r="A857" s="3"/>
      <c r="B857" s="3"/>
      <c r="C857" s="3"/>
      <c r="F857" s="5"/>
    </row>
    <row r="858" spans="1:6">
      <c r="A858" s="3"/>
      <c r="B858" s="3"/>
      <c r="C858" s="3"/>
      <c r="F858" s="5"/>
    </row>
    <row r="859" spans="1:6">
      <c r="A859" s="3"/>
      <c r="B859" s="3"/>
      <c r="C859" s="3"/>
      <c r="F859" s="5"/>
    </row>
    <row r="860" spans="1:6">
      <c r="A860" s="3"/>
      <c r="B860" s="3"/>
      <c r="C860" s="3"/>
      <c r="F860" s="5"/>
    </row>
    <row r="861" spans="1:6">
      <c r="A861" s="3"/>
      <c r="B861" s="3"/>
      <c r="C861" s="3"/>
      <c r="F861" s="5"/>
    </row>
    <row r="862" spans="1:6">
      <c r="A862" s="3"/>
      <c r="B862" s="3"/>
      <c r="C862" s="3"/>
      <c r="F862" s="5"/>
    </row>
    <row r="863" spans="1:6">
      <c r="A863" s="3"/>
      <c r="B863" s="3"/>
      <c r="C863" s="3"/>
      <c r="F863" s="5"/>
    </row>
    <row r="864" spans="1:6">
      <c r="A864" s="3"/>
      <c r="B864" s="3"/>
      <c r="C864" s="3"/>
      <c r="F864" s="5"/>
    </row>
    <row r="865" spans="1:6">
      <c r="A865" s="3"/>
      <c r="B865" s="3"/>
      <c r="C865" s="3"/>
      <c r="F865" s="5"/>
    </row>
    <row r="866" spans="1:6">
      <c r="A866" s="3"/>
      <c r="B866" s="3"/>
      <c r="C866" s="3"/>
      <c r="F866" s="5"/>
    </row>
    <row r="867" spans="1:6">
      <c r="A867" s="3"/>
      <c r="B867" s="3"/>
      <c r="C867" s="3"/>
      <c r="F867" s="5"/>
    </row>
    <row r="868" spans="1:6">
      <c r="A868" s="3"/>
      <c r="B868" s="3"/>
      <c r="C868" s="3"/>
      <c r="F868" s="5"/>
    </row>
    <row r="869" spans="1:6">
      <c r="A869" s="3"/>
      <c r="B869" s="3"/>
      <c r="C869" s="3"/>
      <c r="F869" s="5"/>
    </row>
    <row r="870" spans="1:6">
      <c r="A870" s="3"/>
      <c r="B870" s="3"/>
      <c r="C870" s="3"/>
      <c r="F870" s="5"/>
    </row>
    <row r="871" spans="1:6">
      <c r="A871" s="3"/>
      <c r="B871" s="3"/>
      <c r="C871" s="3"/>
      <c r="F871" s="5"/>
    </row>
    <row r="872" spans="1:6">
      <c r="A872" s="3"/>
      <c r="B872" s="3"/>
      <c r="C872" s="3"/>
      <c r="F872" s="5"/>
    </row>
    <row r="873" spans="1:6">
      <c r="A873" s="3"/>
      <c r="B873" s="3"/>
      <c r="C873" s="3"/>
      <c r="F873" s="5"/>
    </row>
    <row r="874" spans="1:6">
      <c r="A874" s="3"/>
      <c r="B874" s="3"/>
      <c r="C874" s="3"/>
      <c r="F874" s="5"/>
    </row>
    <row r="875" spans="1:6">
      <c r="A875" s="3"/>
      <c r="B875" s="3"/>
      <c r="C875" s="3"/>
      <c r="F875" s="5"/>
    </row>
    <row r="876" spans="1:6">
      <c r="A876" s="3"/>
      <c r="B876" s="3"/>
      <c r="C876" s="3"/>
      <c r="F876" s="5"/>
    </row>
    <row r="877" spans="1:6">
      <c r="A877" s="3"/>
      <c r="B877" s="3"/>
      <c r="C877" s="3"/>
      <c r="F877" s="5"/>
    </row>
    <row r="878" spans="1:6">
      <c r="A878" s="3"/>
      <c r="B878" s="3"/>
      <c r="C878" s="3"/>
      <c r="F878" s="5"/>
    </row>
    <row r="879" spans="1:6">
      <c r="A879" s="3"/>
      <c r="B879" s="3"/>
      <c r="C879" s="3"/>
      <c r="F879" s="5"/>
    </row>
    <row r="880" spans="1:6">
      <c r="A880" s="3"/>
      <c r="B880" s="3"/>
      <c r="C880" s="3"/>
      <c r="F880" s="5"/>
    </row>
    <row r="881" spans="1:6">
      <c r="A881" s="3"/>
      <c r="B881" s="3"/>
      <c r="C881" s="3"/>
      <c r="F881" s="5"/>
    </row>
    <row r="882" spans="1:6">
      <c r="A882" s="3"/>
      <c r="B882" s="3"/>
      <c r="C882" s="3"/>
      <c r="F882" s="5"/>
    </row>
    <row r="883" spans="1:6">
      <c r="A883" s="3"/>
      <c r="B883" s="3"/>
      <c r="C883" s="3"/>
      <c r="F883" s="5"/>
    </row>
    <row r="884" spans="1:6">
      <c r="A884" s="3"/>
      <c r="B884" s="3"/>
      <c r="C884" s="3"/>
      <c r="F884" s="5"/>
    </row>
    <row r="885" spans="1:6">
      <c r="A885" s="3"/>
      <c r="B885" s="3"/>
      <c r="C885" s="3"/>
      <c r="F885" s="5"/>
    </row>
    <row r="886" spans="1:6">
      <c r="A886" s="3"/>
      <c r="B886" s="3"/>
      <c r="C886" s="3"/>
      <c r="F886" s="5"/>
    </row>
    <row r="887" spans="1:6">
      <c r="A887" s="3"/>
      <c r="B887" s="3"/>
      <c r="C887" s="3"/>
      <c r="F887" s="5"/>
    </row>
    <row r="888" spans="1:6">
      <c r="A888" s="3"/>
      <c r="B888" s="3"/>
      <c r="C888" s="3"/>
      <c r="F888" s="5"/>
    </row>
    <row r="889" spans="1:6">
      <c r="A889" s="3"/>
      <c r="B889" s="3"/>
      <c r="C889" s="3"/>
      <c r="F889" s="5"/>
    </row>
    <row r="890" spans="1:6">
      <c r="A890" s="3"/>
      <c r="B890" s="3"/>
      <c r="C890" s="3"/>
      <c r="F890" s="5"/>
    </row>
    <row r="891" spans="1:6">
      <c r="A891" s="3"/>
      <c r="B891" s="3"/>
      <c r="C891" s="3"/>
      <c r="F891" s="5"/>
    </row>
    <row r="892" spans="1:6">
      <c r="A892" s="3"/>
      <c r="B892" s="3"/>
      <c r="C892" s="3"/>
      <c r="F892" s="5"/>
    </row>
    <row r="893" spans="1:6">
      <c r="A893" s="3"/>
      <c r="B893" s="3"/>
      <c r="C893" s="3"/>
      <c r="F893" s="5"/>
    </row>
    <row r="894" spans="1:6">
      <c r="A894" s="3"/>
      <c r="B894" s="3"/>
      <c r="C894" s="3"/>
      <c r="F894" s="5"/>
    </row>
    <row r="895" spans="1:6">
      <c r="A895" s="3"/>
      <c r="B895" s="3"/>
      <c r="C895" s="3"/>
      <c r="F895" s="5"/>
    </row>
    <row r="896" spans="1:6">
      <c r="A896" s="3"/>
      <c r="B896" s="3"/>
      <c r="C896" s="3"/>
      <c r="F896" s="5"/>
    </row>
    <row r="897" spans="1:6">
      <c r="A897" s="3"/>
      <c r="B897" s="3"/>
      <c r="C897" s="3"/>
      <c r="F897" s="5"/>
    </row>
    <row r="898" spans="1:6">
      <c r="A898" s="3"/>
      <c r="B898" s="3"/>
      <c r="C898" s="3"/>
      <c r="F898" s="5"/>
    </row>
    <row r="899" spans="1:6">
      <c r="A899" s="3"/>
      <c r="B899" s="3"/>
      <c r="C899" s="3"/>
      <c r="F899" s="5"/>
    </row>
    <row r="900" spans="1:6">
      <c r="A900" s="3"/>
      <c r="B900" s="3"/>
      <c r="C900" s="3"/>
      <c r="F900" s="5"/>
    </row>
    <row r="901" spans="1:6">
      <c r="A901" s="3"/>
      <c r="B901" s="3"/>
      <c r="C901" s="3"/>
      <c r="F901" s="5"/>
    </row>
    <row r="902" spans="1:6">
      <c r="A902" s="3"/>
      <c r="B902" s="3"/>
      <c r="C902" s="3"/>
      <c r="F902" s="5"/>
    </row>
    <row r="903" spans="1:6">
      <c r="A903" s="3"/>
      <c r="B903" s="3"/>
      <c r="C903" s="3"/>
      <c r="F903" s="5"/>
    </row>
    <row r="904" spans="1:6">
      <c r="A904" s="3"/>
      <c r="B904" s="3"/>
      <c r="C904" s="3"/>
      <c r="F904" s="5"/>
    </row>
    <row r="905" spans="1:6">
      <c r="A905" s="3"/>
      <c r="B905" s="3"/>
      <c r="C905" s="3"/>
      <c r="F905" s="5"/>
    </row>
    <row r="906" spans="1:6">
      <c r="A906" s="3"/>
      <c r="B906" s="3"/>
      <c r="C906" s="3"/>
      <c r="F906" s="5"/>
    </row>
    <row r="907" spans="1:6">
      <c r="A907" s="3"/>
      <c r="B907" s="3"/>
      <c r="C907" s="3"/>
      <c r="F907" s="5"/>
    </row>
    <row r="908" spans="1:6">
      <c r="A908" s="3"/>
      <c r="B908" s="3"/>
      <c r="C908" s="3"/>
      <c r="F908" s="5"/>
    </row>
    <row r="909" spans="1:6">
      <c r="A909" s="3"/>
      <c r="B909" s="3"/>
      <c r="C909" s="3"/>
      <c r="F909" s="5"/>
    </row>
    <row r="910" spans="1:6">
      <c r="A910" s="3"/>
      <c r="B910" s="3"/>
      <c r="C910" s="3"/>
      <c r="F910" s="5"/>
    </row>
    <row r="911" spans="1:6">
      <c r="A911" s="3"/>
      <c r="B911" s="3"/>
      <c r="C911" s="3"/>
      <c r="F911" s="5"/>
    </row>
    <row r="912" spans="1:6">
      <c r="A912" s="3"/>
      <c r="B912" s="3"/>
      <c r="C912" s="3"/>
      <c r="F912" s="5"/>
    </row>
    <row r="913" spans="1:6">
      <c r="A913" s="3"/>
      <c r="B913" s="3"/>
      <c r="C913" s="3"/>
      <c r="F913" s="5"/>
    </row>
    <row r="914" spans="1:6">
      <c r="A914" s="3"/>
      <c r="B914" s="3"/>
      <c r="C914" s="3"/>
      <c r="F914" s="5"/>
    </row>
    <row r="915" spans="1:6">
      <c r="A915" s="3"/>
      <c r="B915" s="3"/>
      <c r="C915" s="3"/>
      <c r="F915" s="5"/>
    </row>
    <row r="916" spans="1:6">
      <c r="A916" s="3"/>
      <c r="B916" s="3"/>
      <c r="C916" s="3"/>
      <c r="F916" s="5"/>
    </row>
    <row r="917" spans="1:6">
      <c r="A917" s="3"/>
      <c r="B917" s="3"/>
      <c r="C917" s="3"/>
      <c r="F917" s="5"/>
    </row>
    <row r="918" spans="1:6">
      <c r="A918" s="3"/>
      <c r="B918" s="3"/>
      <c r="C918" s="3"/>
      <c r="F918" s="5"/>
    </row>
    <row r="919" spans="1:6">
      <c r="A919" s="3"/>
      <c r="B919" s="3"/>
      <c r="C919" s="3"/>
      <c r="F919" s="5"/>
    </row>
    <row r="920" spans="1:6">
      <c r="A920" s="3"/>
      <c r="B920" s="3"/>
      <c r="C920" s="3"/>
      <c r="F920" s="5"/>
    </row>
    <row r="921" spans="1:6">
      <c r="A921" s="3"/>
      <c r="B921" s="3"/>
      <c r="C921" s="3"/>
      <c r="F921" s="5"/>
    </row>
    <row r="922" spans="1:6">
      <c r="A922" s="3"/>
      <c r="B922" s="3"/>
      <c r="C922" s="3"/>
      <c r="F922" s="5"/>
    </row>
    <row r="923" spans="1:6">
      <c r="A923" s="3"/>
      <c r="B923" s="3"/>
      <c r="C923" s="3"/>
      <c r="F923" s="5"/>
    </row>
    <row r="924" spans="1:6">
      <c r="A924" s="3"/>
      <c r="B924" s="3"/>
      <c r="C924" s="3"/>
      <c r="F924" s="5"/>
    </row>
    <row r="925" spans="1:6">
      <c r="A925" s="3"/>
      <c r="B925" s="3"/>
      <c r="C925" s="3"/>
      <c r="F925" s="5"/>
    </row>
    <row r="926" spans="1:6">
      <c r="A926" s="3"/>
      <c r="B926" s="3"/>
      <c r="C926" s="3"/>
      <c r="F926" s="5"/>
    </row>
    <row r="927" spans="1:6">
      <c r="A927" s="3"/>
      <c r="B927" s="3"/>
      <c r="C927" s="3"/>
      <c r="F927" s="5"/>
    </row>
    <row r="928" spans="1:6">
      <c r="A928" s="3"/>
      <c r="B928" s="3"/>
      <c r="C928" s="3"/>
      <c r="F928" s="5"/>
    </row>
    <row r="929" spans="1:6">
      <c r="A929" s="3"/>
      <c r="B929" s="3"/>
      <c r="C929" s="3"/>
      <c r="F929" s="5"/>
    </row>
    <row r="930" spans="1:6">
      <c r="A930" s="3"/>
      <c r="B930" s="3"/>
      <c r="C930" s="3"/>
      <c r="F930" s="5"/>
    </row>
    <row r="931" spans="1:6">
      <c r="A931" s="3"/>
      <c r="B931" s="3"/>
      <c r="C931" s="3"/>
      <c r="F931" s="5"/>
    </row>
    <row r="932" spans="1:6">
      <c r="A932" s="3"/>
      <c r="B932" s="3"/>
      <c r="C932" s="3"/>
      <c r="F932" s="5"/>
    </row>
    <row r="933" spans="1:6">
      <c r="A933" s="3"/>
      <c r="B933" s="3"/>
      <c r="C933" s="3"/>
      <c r="F933" s="5"/>
    </row>
    <row r="934" spans="1:6">
      <c r="A934" s="3"/>
      <c r="B934" s="3"/>
      <c r="C934" s="3"/>
      <c r="F934" s="5"/>
    </row>
    <row r="935" spans="1:6">
      <c r="A935" s="3"/>
      <c r="B935" s="3"/>
      <c r="C935" s="3"/>
      <c r="F935" s="5"/>
    </row>
    <row r="936" spans="1:6">
      <c r="A936" s="3"/>
      <c r="B936" s="3"/>
      <c r="C936" s="3"/>
      <c r="F936" s="5"/>
    </row>
    <row r="937" spans="1:6">
      <c r="A937" s="3"/>
      <c r="B937" s="3"/>
      <c r="C937" s="3"/>
      <c r="F937" s="5"/>
    </row>
    <row r="938" spans="1:6">
      <c r="A938" s="3"/>
      <c r="B938" s="3"/>
      <c r="C938" s="3"/>
      <c r="F938" s="5"/>
    </row>
    <row r="939" spans="1:6">
      <c r="A939" s="3"/>
      <c r="B939" s="3"/>
      <c r="C939" s="3"/>
      <c r="F939" s="5"/>
    </row>
    <row r="940" spans="1:6">
      <c r="A940" s="3"/>
      <c r="B940" s="3"/>
      <c r="C940" s="3"/>
      <c r="F940" s="5"/>
    </row>
    <row r="941" spans="1:6">
      <c r="A941" s="3"/>
      <c r="B941" s="3"/>
      <c r="C941" s="3"/>
      <c r="F941" s="5"/>
    </row>
    <row r="942" spans="1:6">
      <c r="A942" s="3"/>
      <c r="B942" s="3"/>
      <c r="C942" s="3"/>
      <c r="F942" s="5"/>
    </row>
    <row r="943" spans="1:6">
      <c r="A943" s="3"/>
      <c r="B943" s="3"/>
      <c r="C943" s="3"/>
      <c r="F943" s="5"/>
    </row>
    <row r="944" spans="1:6">
      <c r="A944" s="3"/>
      <c r="B944" s="3"/>
      <c r="C944" s="3"/>
      <c r="F944" s="5"/>
    </row>
    <row r="945" spans="1:6">
      <c r="A945" s="3"/>
      <c r="B945" s="3"/>
      <c r="C945" s="3"/>
      <c r="F945" s="5"/>
    </row>
    <row r="946" spans="1:6">
      <c r="A946" s="3"/>
      <c r="B946" s="3"/>
      <c r="C946" s="3"/>
      <c r="F946" s="5"/>
    </row>
    <row r="947" spans="1:6">
      <c r="A947" s="3"/>
      <c r="B947" s="3"/>
      <c r="C947" s="3"/>
      <c r="F947" s="5"/>
    </row>
    <row r="948" spans="1:6">
      <c r="A948" s="3"/>
      <c r="B948" s="3"/>
      <c r="C948" s="3"/>
      <c r="F948" s="5"/>
    </row>
    <row r="949" spans="1:6">
      <c r="A949" s="3"/>
      <c r="B949" s="3"/>
      <c r="C949" s="3"/>
      <c r="F949" s="5"/>
    </row>
    <row r="950" spans="1:6">
      <c r="A950" s="3"/>
      <c r="B950" s="3"/>
      <c r="C950" s="3"/>
      <c r="F950" s="5"/>
    </row>
    <row r="951" spans="1:6">
      <c r="A951" s="3"/>
      <c r="B951" s="3"/>
      <c r="C951" s="3"/>
      <c r="F951" s="5"/>
    </row>
    <row r="952" spans="1:6">
      <c r="A952" s="3"/>
      <c r="B952" s="3"/>
      <c r="C952" s="3"/>
      <c r="F952" s="5"/>
    </row>
    <row r="953" spans="1:6">
      <c r="A953" s="3"/>
      <c r="B953" s="3"/>
      <c r="C953" s="3"/>
      <c r="F953" s="5"/>
    </row>
    <row r="954" spans="1:6">
      <c r="A954" s="3"/>
      <c r="B954" s="3"/>
      <c r="C954" s="3"/>
      <c r="F954" s="5"/>
    </row>
    <row r="955" spans="1:6">
      <c r="A955" s="3"/>
      <c r="B955" s="3"/>
      <c r="C955" s="3"/>
      <c r="F955" s="5"/>
    </row>
    <row r="956" spans="1:6">
      <c r="A956" s="3"/>
      <c r="B956" s="3"/>
      <c r="C956" s="3"/>
      <c r="F956" s="5"/>
    </row>
    <row r="957" spans="1:6">
      <c r="A957" s="3"/>
      <c r="B957" s="3"/>
      <c r="C957" s="3"/>
      <c r="F957" s="5"/>
    </row>
    <row r="958" spans="1:6">
      <c r="A958" s="3"/>
      <c r="B958" s="3"/>
      <c r="C958" s="3"/>
      <c r="F958" s="5"/>
    </row>
    <row r="959" spans="1:6">
      <c r="A959" s="3"/>
      <c r="B959" s="3"/>
      <c r="C959" s="3"/>
      <c r="F959" s="5"/>
    </row>
    <row r="960" spans="1:6">
      <c r="A960" s="3"/>
      <c r="B960" s="3"/>
      <c r="C960" s="3"/>
      <c r="F960" s="5"/>
    </row>
    <row r="961" spans="1:6">
      <c r="A961" s="3"/>
      <c r="B961" s="3"/>
      <c r="C961" s="3"/>
      <c r="F961" s="5"/>
    </row>
    <row r="962" spans="1:6">
      <c r="A962" s="3"/>
      <c r="B962" s="3"/>
      <c r="C962" s="3"/>
      <c r="F962" s="5"/>
    </row>
    <row r="963" spans="1:6">
      <c r="A963" s="3"/>
      <c r="B963" s="3"/>
      <c r="C963" s="3"/>
      <c r="F963" s="5"/>
    </row>
    <row r="964" spans="1:6">
      <c r="A964" s="3"/>
      <c r="B964" s="3"/>
      <c r="C964" s="3"/>
      <c r="F964" s="5"/>
    </row>
    <row r="965" spans="1:6">
      <c r="A965" s="3"/>
      <c r="B965" s="3"/>
      <c r="C965" s="3"/>
      <c r="F965" s="5"/>
    </row>
    <row r="966" spans="1:6">
      <c r="A966" s="3"/>
      <c r="B966" s="3"/>
      <c r="C966" s="3"/>
      <c r="F966" s="5"/>
    </row>
    <row r="967" spans="1:6">
      <c r="A967" s="3"/>
      <c r="B967" s="3"/>
      <c r="C967" s="3"/>
      <c r="F967" s="5"/>
    </row>
    <row r="968" spans="1:6">
      <c r="A968" s="3"/>
      <c r="B968" s="3"/>
      <c r="C968" s="3"/>
      <c r="F968" s="5"/>
    </row>
    <row r="969" spans="1:6">
      <c r="A969" s="3"/>
      <c r="B969" s="3"/>
      <c r="C969" s="3"/>
      <c r="F969" s="5"/>
    </row>
    <row r="970" spans="1:6">
      <c r="A970" s="3"/>
      <c r="B970" s="3"/>
      <c r="C970" s="3"/>
      <c r="F970" s="5"/>
    </row>
    <row r="971" spans="1:6">
      <c r="A971" s="3"/>
      <c r="B971" s="3"/>
      <c r="C971" s="3"/>
      <c r="F971" s="5"/>
    </row>
    <row r="972" spans="1:6">
      <c r="A972" s="3"/>
      <c r="B972" s="3"/>
      <c r="C972" s="3"/>
      <c r="F972" s="5"/>
    </row>
    <row r="973" spans="1:6">
      <c r="A973" s="3"/>
      <c r="B973" s="3"/>
      <c r="C973" s="3"/>
      <c r="F973" s="5"/>
    </row>
    <row r="974" spans="1:6">
      <c r="A974" s="3"/>
      <c r="B974" s="3"/>
      <c r="C974" s="3"/>
      <c r="F974" s="5"/>
    </row>
    <row r="975" spans="1:6">
      <c r="A975" s="3"/>
      <c r="B975" s="3"/>
      <c r="C975" s="3"/>
      <c r="F975" s="5"/>
    </row>
    <row r="976" spans="1:6">
      <c r="A976" s="3"/>
      <c r="B976" s="3"/>
      <c r="C976" s="3"/>
      <c r="F976" s="5"/>
    </row>
    <row r="977" spans="1:6">
      <c r="A977" s="3"/>
      <c r="B977" s="3"/>
      <c r="C977" s="3"/>
      <c r="F977" s="5"/>
    </row>
    <row r="978" spans="1:6">
      <c r="A978" s="3"/>
      <c r="B978" s="3"/>
      <c r="C978" s="3"/>
      <c r="F978" s="5"/>
    </row>
    <row r="979" spans="1:6">
      <c r="A979" s="3"/>
      <c r="B979" s="3"/>
      <c r="C979" s="3"/>
      <c r="F979" s="5"/>
    </row>
    <row r="980" spans="1:6">
      <c r="A980" s="3"/>
      <c r="B980" s="3"/>
      <c r="C980" s="3"/>
      <c r="F980" s="5"/>
    </row>
    <row r="981" spans="1:6">
      <c r="A981" s="3"/>
      <c r="B981" s="3"/>
      <c r="C981" s="3"/>
      <c r="F981" s="5"/>
    </row>
    <row r="982" spans="1:6">
      <c r="A982" s="3"/>
      <c r="B982" s="3"/>
      <c r="C982" s="3"/>
      <c r="F982" s="5"/>
    </row>
    <row r="983" spans="1:6">
      <c r="A983" s="3"/>
      <c r="B983" s="3"/>
      <c r="C983" s="3"/>
      <c r="F983" s="5"/>
    </row>
    <row r="984" spans="1:6">
      <c r="A984" s="3"/>
      <c r="B984" s="3"/>
      <c r="C984" s="3"/>
      <c r="F984" s="5"/>
    </row>
    <row r="985" spans="1:6">
      <c r="A985" s="3"/>
      <c r="B985" s="3"/>
      <c r="C985" s="3"/>
      <c r="F985" s="5"/>
    </row>
    <row r="986" spans="1:6">
      <c r="A986" s="3"/>
      <c r="B986" s="3"/>
      <c r="C986" s="3"/>
      <c r="F986" s="5"/>
    </row>
    <row r="987" spans="1:6">
      <c r="A987" s="3"/>
      <c r="B987" s="3"/>
      <c r="C987" s="3"/>
      <c r="F987" s="5"/>
    </row>
    <row r="988" spans="1:6">
      <c r="A988" s="3"/>
      <c r="B988" s="3"/>
      <c r="C988" s="3"/>
      <c r="F988" s="5"/>
    </row>
    <row r="989" spans="1:6">
      <c r="A989" s="3"/>
      <c r="B989" s="3"/>
      <c r="C989" s="3"/>
      <c r="F989" s="5"/>
    </row>
    <row r="990" spans="1:6">
      <c r="A990" s="3"/>
      <c r="B990" s="3"/>
      <c r="C990" s="3"/>
      <c r="F990" s="5"/>
    </row>
    <row r="991" spans="1:6">
      <c r="A991" s="3"/>
      <c r="B991" s="3"/>
      <c r="C991" s="3"/>
      <c r="F991" s="5"/>
    </row>
    <row r="992" spans="1:6">
      <c r="A992" s="3"/>
      <c r="B992" s="3"/>
      <c r="C992" s="3"/>
      <c r="F992" s="5"/>
    </row>
    <row r="993" spans="1:6">
      <c r="A993" s="3"/>
      <c r="B993" s="3"/>
      <c r="C993" s="3"/>
      <c r="F993" s="5"/>
    </row>
    <row r="994" spans="1:6">
      <c r="A994" s="3"/>
      <c r="B994" s="3"/>
      <c r="C994" s="3"/>
      <c r="F994" s="5"/>
    </row>
    <row r="995" spans="1:6">
      <c r="A995" s="3"/>
      <c r="B995" s="3"/>
      <c r="C995" s="3"/>
      <c r="F995" s="5"/>
    </row>
    <row r="996" spans="1:6">
      <c r="A996" s="3"/>
      <c r="B996" s="3"/>
      <c r="C996" s="3"/>
      <c r="F996" s="5"/>
    </row>
    <row r="997" spans="1:6">
      <c r="A997" s="3"/>
      <c r="B997" s="3"/>
      <c r="C997" s="3"/>
      <c r="F997" s="5"/>
    </row>
    <row r="998" spans="1:6">
      <c r="A998" s="3"/>
      <c r="B998" s="3"/>
      <c r="C998" s="3"/>
      <c r="F998" s="5"/>
    </row>
    <row r="999" spans="1:6">
      <c r="A999" s="3"/>
      <c r="B999" s="3"/>
      <c r="C999" s="3"/>
      <c r="F999" s="5"/>
    </row>
    <row r="1000" spans="1:6">
      <c r="A1000" s="3"/>
      <c r="B1000" s="3"/>
      <c r="C1000" s="3"/>
      <c r="F1000" s="5"/>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CITAÇÕES</vt:lpstr>
      <vt:lpstr>detalhes dos artigos</vt:lpstr>
      <vt:lpstr>citações por edição</vt:lpstr>
      <vt:lpstr>artigos por idioma</vt:lpstr>
      <vt:lpstr>artigos por região</vt:lpstr>
      <vt:lpstr>artigos por instituições</vt:lpstr>
      <vt:lpstr>citações do evento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rps</dc:creator>
  <cp:lastModifiedBy>cybel_000</cp:lastModifiedBy>
  <dcterms:created xsi:type="dcterms:W3CDTF">2015-07-21T02:29:52Z</dcterms:created>
  <dcterms:modified xsi:type="dcterms:W3CDTF">2016-07-01T10:57:09Z</dcterms:modified>
</cp:coreProperties>
</file>